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" sheetId="3" state="visible" r:id="rId5"/>
    <sheet name="COGS" sheetId="4" state="visible" r:id="rId6"/>
    <sheet name="OpEx" sheetId="5" state="visible" r:id="rId7"/>
    <sheet name="P&amp;L" sheetId="6" state="visible" r:id="rId8"/>
    <sheet name="CashFlow" sheetId="7" state="visible" r:id="rId9"/>
    <sheet name="Funding" sheetId="8" state="visible" r:id="rId10"/>
    <sheet name="CapTable" sheetId="9" state="visible" r:id="rId11"/>
    <sheet name="Scenarios" sheetId="10" state="visible" r:id="rId12"/>
    <sheet name="Summar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<sst xmlns="http://schemas.openxmlformats.org/spreadsheetml/2006/main" count="449" uniqueCount="262">
  <si>
    <t xml:space="preserve">CUVR</t>
  </si>
  <si>
    <t xml:space="preserve">5-Year Financial Model</t>
  </si>
  <si>
    <t xml:space="preserve">VR-gamified rehabilitation  ·  UAE / GCC  ·  B2B2C</t>
  </si>
  <si>
    <t xml:space="preserve">Prepared April 2026  ·  v1.0  ·  Confidential</t>
  </si>
  <si>
    <t xml:space="preserve">Currency</t>
  </si>
  <si>
    <t xml:space="preserve">AED (United Arab Emirates Dirham)  ·  USD reference at AED 3.67 / USD</t>
  </si>
  <si>
    <t xml:space="preserve">Period</t>
  </si>
  <si>
    <t xml:space="preserve">FY2026 – FY2030 (calendar year, FY2026 = first commercial year)</t>
  </si>
  <si>
    <t xml:space="preserve">Geography</t>
  </si>
  <si>
    <t xml:space="preserve">UAE (FY2026–27), KSA entry FY2028, broader GCC FY2029–30</t>
  </si>
  <si>
    <t xml:space="preserve">Workbook Structure</t>
  </si>
  <si>
    <t xml:space="preserve">Cover</t>
  </si>
  <si>
    <t xml:space="preserve">This sheet — model overview and navigation</t>
  </si>
  <si>
    <t xml:space="preserve">Assumptions</t>
  </si>
  <si>
    <t xml:space="preserve">All input drivers; ALL blue cells are user-editable</t>
  </si>
  <si>
    <t xml:space="preserve">Revenue</t>
  </si>
  <si>
    <t xml:space="preserve">Bottom-up build: site count × ARPU components</t>
  </si>
  <si>
    <t xml:space="preserve">COGS</t>
  </si>
  <si>
    <t xml:space="preserve">Hardware, hosting, content licensing, support</t>
  </si>
  <si>
    <t xml:space="preserve">OpEx</t>
  </si>
  <si>
    <t xml:space="preserve">Headcount + non-payroll operating expenses</t>
  </si>
  <si>
    <t xml:space="preserve">P&amp;L</t>
  </si>
  <si>
    <t xml:space="preserve">Income statement, FY2026–FY2030</t>
  </si>
  <si>
    <t xml:space="preserve">CashFlow</t>
  </si>
  <si>
    <t xml:space="preserve">Operating + investing + financing cash flow</t>
  </si>
  <si>
    <t xml:space="preserve">Funding</t>
  </si>
  <si>
    <t xml:space="preserve">Capital plan: pre-seed, seed, Series A, B</t>
  </si>
  <si>
    <t xml:space="preserve">CapTable</t>
  </si>
  <si>
    <t xml:space="preserve">Ownership evolution + dilution</t>
  </si>
  <si>
    <t xml:space="preserve">Scenarios</t>
  </si>
  <si>
    <t xml:space="preserve">Base / Conservative / Aggressive sensitivity</t>
  </si>
  <si>
    <t xml:space="preserve">Summary</t>
  </si>
  <si>
    <t xml:space="preserve">1-page executive summary</t>
  </si>
  <si>
    <t xml:space="preserve">Color Coding</t>
  </si>
  <si>
    <t xml:space="preserve">Blue text</t>
  </si>
  <si>
    <t xml:space="preserve">Hardcoded inputs / assumptions you can change</t>
  </si>
  <si>
    <t xml:space="preserve">Black text</t>
  </si>
  <si>
    <t xml:space="preserve">Formulas — do not edit manually</t>
  </si>
  <si>
    <t xml:space="preserve">Green text</t>
  </si>
  <si>
    <t xml:space="preserve">Links pulling from another sheet</t>
  </si>
  <si>
    <t xml:space="preserve">Yellow fill</t>
  </si>
  <si>
    <t xml:space="preserve">Key driver — pay close attention</t>
  </si>
  <si>
    <t xml:space="preserve">All inputs in BLUE. Edit these to flex the model.</t>
  </si>
  <si>
    <t xml:space="preserve">Driver</t>
  </si>
  <si>
    <t xml:space="preserve">Unit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</si>
  <si>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</si>
  <si>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</si>
  <si>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</si>
  <si>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</si>
  <si>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</si>
  <si>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Notes</t>
  </si>
  <si>
    <t xml:space="preserve">1. Site Counts (cumulative active sites at year-end)</t>
  </si>
  <si>
    <t xml:space="preserve">UAE — Independent physio clinics</t>
  </si>
  <si>
    <t xml:space="preserve">sites</t>
  </si>
  <si>
    <t xml:space="preserve">Phase 1 pilots → broad rollout</t>
  </si>
  <si>
    <t xml:space="preserve">UAE — Mid/large hospital systems</t>
  </si>
  <si>
    <t xml:space="preserve">Aster, Mediclinic, NMC, EHS</t>
  </si>
  <si>
    <t xml:space="preserve">UAE — Home-health agencies</t>
  </si>
  <si>
    <t xml:space="preserve">Phase 2 onwards</t>
  </si>
  <si>
    <t xml:space="preserve">KSA — Hospitals &amp; clinics</t>
  </si>
  <si>
    <t xml:space="preserve">Post-SFDA registration</t>
  </si>
  <si>
    <t xml:space="preserve">Other GCC (KW, BH, QA, OM)</t>
  </si>
  <si>
    <t xml:space="preserve">Post-MoHAP MDRC</t>
  </si>
  <si>
    <t xml:space="preserve">2. ARPU — Setup / Hardware One-Time Fee (per new site)</t>
  </si>
  <si>
    <t xml:space="preserve">Setup fee — Independent clinic</t>
  </si>
  <si>
    <t xml:space="preserve">AED</t>
  </si>
  <si>
    <t xml:space="preserve">Hardware + onboarding</t>
  </si>
  <si>
    <t xml:space="preserve">Setup fee — Hospital system</t>
  </si>
  <si>
    <t xml:space="preserve">Multi-room deployment</t>
  </si>
  <si>
    <t xml:space="preserve">Setup fee — Home-health agency</t>
  </si>
  <si>
    <t xml:space="preserve">Lighter footprint</t>
  </si>
  <si>
    <t xml:space="preserve">Setup fee — KSA / GCC site (blended)</t>
  </si>
  <si>
    <t xml:space="preserve">3. ARPU — Recurring SaaS (per site, per month)</t>
  </si>
  <si>
    <t xml:space="preserve">Monthly SaaS — Clinic</t>
  </si>
  <si>
    <t xml:space="preserve">AED/mo</t>
  </si>
  <si>
    <t xml:space="preserve">Monthly SaaS — Hospital</t>
  </si>
  <si>
    <t xml:space="preserve">Monthly SaaS — Home-health</t>
  </si>
  <si>
    <t xml:space="preserve">Monthly SaaS — KSA / GCC</t>
  </si>
  <si>
    <t xml:space="preserve">4. Per-Session Revenue (variable usage)</t>
  </si>
  <si>
    <t xml:space="preserve">Sessions per site per month — Clinic</t>
  </si>
  <si>
    <t xml:space="preserve">#</t>
  </si>
  <si>
    <t xml:space="preserve">Sessions per site per month — Hospital</t>
  </si>
  <si>
    <t xml:space="preserve">Sessions per site per month — Home-health</t>
  </si>
  <si>
    <t xml:space="preserve">Sessions per site per month — KSA / GCC</t>
  </si>
  <si>
    <t xml:space="preserve">Revenue per session (blended)</t>
  </si>
  <si>
    <t xml:space="preserve">Mix of cash-pay and reimbursed</t>
  </si>
  <si>
    <t xml:space="preserve">5. Site Activation Timing</t>
  </si>
  <si>
    <t xml:space="preserve">% of new sites active half-year (avg)</t>
  </si>
  <si>
    <t xml:space="preserve">%</t>
  </si>
  <si>
    <t xml:space="preserve">Time-weighted ARR factor</t>
  </si>
  <si>
    <t xml:space="preserve">6. COGS Drivers</t>
  </si>
  <si>
    <t xml:space="preserve">Hardware COGS per setup (avg)</t>
  </si>
  <si>
    <t xml:space="preserve">Quest Pro/3 + accessories</t>
  </si>
  <si>
    <t xml:space="preserve">Cloud + hosting per site per month</t>
  </si>
  <si>
    <t xml:space="preserve">Content licensing per session</t>
  </si>
  <si>
    <t xml:space="preserve">Customer support per site per month</t>
  </si>
  <si>
    <t xml:space="preserve">7. Headcount (FTEs at year-end)</t>
  </si>
  <si>
    <t xml:space="preserve">Engineering + Product</t>
  </si>
  <si>
    <t xml:space="preserve">Clinical + Reg Affairs</t>
  </si>
  <si>
    <t xml:space="preserve">Sales + Customer Success</t>
  </si>
  <si>
    <t xml:space="preserve">G&amp;A (Finance, HR, Ops)</t>
  </si>
  <si>
    <t xml:space="preserve">Avg fully-loaded cost per FTE</t>
  </si>
  <si>
    <t xml:space="preserve">AED/yr</t>
  </si>
  <si>
    <t xml:space="preserve">Includes EOSB, healthcare, etc.</t>
  </si>
  <si>
    <t xml:space="preserve">8. Non-Payroll OpEx</t>
  </si>
  <si>
    <t xml:space="preserve">Marketing &amp; demand gen</t>
  </si>
  <si>
    <t xml:space="preserve">Regulatory + legal + IP</t>
  </si>
  <si>
    <t xml:space="preserve">Travel &amp; customer entertainment</t>
  </si>
  <si>
    <t xml:space="preserve">Office, IT, software</t>
  </si>
  <si>
    <t xml:space="preserve">Professional services / advisors</t>
  </si>
  <si>
    <t xml:space="preserve">Other / contingency</t>
  </si>
  <si>
    <t xml:space="preserve">9. Macro / Other</t>
  </si>
  <si>
    <t xml:space="preserve">Working capital — % of revenue</t>
  </si>
  <si>
    <t xml:space="preserve">Capex — % of revenue</t>
  </si>
  <si>
    <t xml:space="preserve">Tax rate (UAE 9% federal)</t>
  </si>
  <si>
    <t xml:space="preserve">Loss carryforward applied</t>
  </si>
  <si>
    <t xml:space="preserve">AED per USD</t>
  </si>
  <si>
    <t xml:space="preserve">AED/USD</t>
  </si>
  <si>
    <t xml:space="preserve">Revenue Build</t>
  </si>
  <si>
    <t xml:space="preserve">Bottom-up: site count × (setup fee + 12 × monthly SaaS + 12 × sessions × per-session)</t>
  </si>
  <si>
    <t xml:space="preserve">Line Item</t>
  </si>
  <si>
    <t xml:space="preserve">Site counts (cumulative, year-end)</t>
  </si>
  <si>
    <t xml:space="preserve">  UAE clinics</t>
  </si>
  <si>
    <t xml:space="preserve">  UAE hospitals</t>
  </si>
  <si>
    <t xml:space="preserve">  UAE home-health</t>
  </si>
  <si>
    <t xml:space="preserve">  KSA sites</t>
  </si>
  <si>
    <t xml:space="preserve">  Other GCC sites</t>
  </si>
  <si>
    <t xml:space="preserve">Total sites (year-end)</t>
  </si>
  <si>
    <t xml:space="preserve">Net new sites added during year</t>
  </si>
  <si>
    <t xml:space="preserve">  UAE clinics (new)</t>
  </si>
  <si>
    <t xml:space="preserve">  UAE hospitals (new)</t>
  </si>
  <si>
    <t xml:space="preserve">  UAE home-health (new)</t>
  </si>
  <si>
    <t xml:space="preserve">  KSA (new)</t>
  </si>
  <si>
    <t xml:space="preserve">  Other GCC (new)</t>
  </si>
  <si>
    <t xml:space="preserve">Total net new sites</t>
  </si>
  <si>
    <t xml:space="preserve">Setup / hardware revenue</t>
  </si>
  <si>
    <t xml:space="preserve">  Clinics</t>
  </si>
  <si>
    <t xml:space="preserve">  Hospitals</t>
  </si>
  <si>
    <t xml:space="preserve">  Home-health</t>
  </si>
  <si>
    <t xml:space="preserve">  KSA + Other GCC</t>
  </si>
  <si>
    <t xml:space="preserve">Total setup revenue</t>
  </si>
  <si>
    <t xml:space="preserve">Recurring SaaS revenue</t>
  </si>
  <si>
    <t xml:space="preserve">  Clinics SaaS</t>
  </si>
  <si>
    <t xml:space="preserve">  Hospitals SaaS</t>
  </si>
  <si>
    <t xml:space="preserve">  Home-health SaaS</t>
  </si>
  <si>
    <t xml:space="preserve">  KSA + GCC SaaS</t>
  </si>
  <si>
    <t xml:space="preserve">Total SaaS revenue</t>
  </si>
  <si>
    <t xml:space="preserve">Per-session revenue</t>
  </si>
  <si>
    <t xml:space="preserve">  Clinic sessions</t>
  </si>
  <si>
    <t xml:space="preserve">  Hospital sessions</t>
  </si>
  <si>
    <t xml:space="preserve">  Home-health sessions</t>
  </si>
  <si>
    <t xml:space="preserve">  KSA + GCC sessions</t>
  </si>
  <si>
    <t xml:space="preserve">Total session revenue</t>
  </si>
  <si>
    <t xml:space="preserve">TOTAL REVENUE (AED)</t>
  </si>
  <si>
    <t xml:space="preserve">  YoY growth</t>
  </si>
  <si>
    <t xml:space="preserve">TOTAL REVENUE (USD ref)</t>
  </si>
  <si>
    <t xml:space="preserve">USD</t>
  </si>
  <si>
    <t xml:space="preserve">Cost of Goods Sold</t>
  </si>
  <si>
    <t xml:space="preserve">Hardware, hosting, content, support</t>
  </si>
  <si>
    <t xml:space="preserve">Hardware (new sites)</t>
  </si>
  <si>
    <t xml:space="preserve">Cloud + hosting</t>
  </si>
  <si>
    <t xml:space="preserve">Content licensing</t>
  </si>
  <si>
    <t xml:space="preserve">Customer support (variable)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</si>
  <si>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</si>
  <si>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</si>
  <si>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</si>
  <si>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</si>
  <si>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Headcount + non-payroll</t>
  </si>
  <si>
    <t xml:space="preserve">Headcount (year-end FTEs)</t>
  </si>
  <si>
    <t xml:space="preserve">  Engineering + Product</t>
  </si>
  <si>
    <t xml:space="preserve">FTE</t>
  </si>
  <si>
    <t xml:space="preserve">  Clinical + Reg</t>
  </si>
  <si>
    <t xml:space="preserve">  Sales + CS</t>
  </si>
  <si>
    <t xml:space="preserve">  G&amp;A</t>
  </si>
  <si>
    <t xml:space="preserve">Total FTEs</t>
  </si>
  <si>
    <t xml:space="preserve">Avg FTEs during year</t>
  </si>
  <si>
    <t xml:space="preserve">Payroll cost</t>
  </si>
  <si>
    <t xml:space="preserve">Total payroll</t>
  </si>
  <si>
    <t xml:space="preserve">Non-payroll OpEx</t>
  </si>
  <si>
    <t xml:space="preserve">  Marketing &amp; demand gen</t>
  </si>
  <si>
    <t xml:space="preserve">  Regulatory + legal + IP</t>
  </si>
  <si>
    <t xml:space="preserve">  Travel &amp; entertainment</t>
  </si>
  <si>
    <t xml:space="preserve">  Office, IT, software</t>
  </si>
  <si>
    <t xml:space="preserve">  Professional services</t>
  </si>
  <si>
    <t xml:space="preserve">  Other / contingency</t>
  </si>
  <si>
    <t xml:space="preserve">Total non-payroll</t>
  </si>
  <si>
    <t xml:space="preserve">TOTAL OPEX</t>
  </si>
  <si>
    <t xml:space="preserve">Income Statement</t>
  </si>
  <si>
    <t xml:space="preserve">FY2026–FY2030, AED</t>
  </si>
  <si>
    <t xml:space="preserve">  Gross margin</t>
  </si>
  <si>
    <t xml:space="preserve">Operating expenses</t>
  </si>
  <si>
    <t xml:space="preserve">EBITDA</t>
  </si>
  <si>
    <t xml:space="preserve">  EBITDA margin</t>
  </si>
  <si>
    <t xml:space="preserve">D&amp;A (5-yr SL on capex)</t>
  </si>
  <si>
    <t xml:space="preserve">EBIT</t>
  </si>
  <si>
    <t xml:space="preserve">  Taxable EBIT (simple)</t>
  </si>
  <si>
    <t xml:space="preserve">Tax</t>
  </si>
  <si>
    <t xml:space="preserve">Net Income</t>
  </si>
  <si>
    <t xml:space="preserve">  Net margin</t>
  </si>
  <si>
    <t xml:space="preserve">Cash Flow</t>
  </si>
  <si>
    <t xml:space="preserve">Indirect method, AED</t>
  </si>
  <si>
    <t xml:space="preserve">+ D&amp;A (add back non-cash)</t>
  </si>
  <si>
    <t xml:space="preserve">- Change in working capital</t>
  </si>
  <si>
    <t xml:space="preserve">Cash from operations</t>
  </si>
  <si>
    <t xml:space="preserve">- Capex</t>
  </si>
  <si>
    <t xml:space="preserve">Cash from investing</t>
  </si>
  <si>
    <t xml:space="preserve">Financing — equity raises</t>
  </si>
  <si>
    <t xml:space="preserve">Cash from financing</t>
  </si>
  <si>
    <t xml:space="preserve">Net change in cash</t>
  </si>
  <si>
    <t xml:space="preserve">Cumulative cash position (pre-funding)</t>
  </si>
  <si>
    <t xml:space="preserve">Capital Plan</t>
  </si>
  <si>
    <t xml:space="preserve">4 funding rounds: pre-seed → seed → Series A → Series B</t>
  </si>
  <si>
    <t xml:space="preserve">Round</t>
  </si>
  <si>
    <t xml:space="preserve">Date</t>
  </si>
  <si>
    <t xml:space="preserve">Amount (AED M)</t>
  </si>
  <si>
    <t xml:space="preserve">Pre-money (AED M)</t>
  </si>
  <si>
    <t xml:space="preserve">Post-money (AED M)</t>
  </si>
  <si>
    <t xml:space="preserve">Dilution</t>
  </si>
  <si>
    <t xml:space="preserve">Use of Funds</t>
  </si>
  <si>
    <t xml:space="preserve">Pre-Seed</t>
  </si>
  <si>
    <t xml:space="preserve">Q3 2026</t>
  </si>
  <si>
    <t xml:space="preserve">Founder + angels; runway to first paid pilots</t>
  </si>
  <si>
    <t xml:space="preserve">Seed</t>
  </si>
  <si>
    <t xml:space="preserve">Q4 2026</t>
  </si>
  <si>
    <t xml:space="preserve">VC-led; UAE rollout, MoHAP filing, 8-person team</t>
  </si>
  <si>
    <t xml:space="preserve">Series A</t>
  </si>
  <si>
    <t xml:space="preserve">Q2 2028</t>
  </si>
  <si>
    <t xml:space="preserve">Regional VC; KSA entry, full clinical evidence, 35-person team</t>
  </si>
  <si>
    <t xml:space="preserve">Series B</t>
  </si>
  <si>
    <t xml:space="preserve">Q4 2029</t>
  </si>
  <si>
    <t xml:space="preserve">Growth round; broader GCC, prep for global expansion</t>
  </si>
  <si>
    <t xml:space="preserve">Total raised (AED M)</t>
  </si>
  <si>
    <t xml:space="preserve">Total raised (USD M)</t>
  </si>
  <si>
    <t xml:space="preserve">Cap Table — Ownership Evolution</t>
  </si>
  <si>
    <t xml:space="preserve">% ownership after each round</t>
  </si>
  <si>
    <t xml:space="preserve">Stakeholder</t>
  </si>
  <si>
    <t xml:space="preserve">Founding</t>
  </si>
  <si>
    <t xml:space="preserve">Post Pre-Seed</t>
  </si>
  <si>
    <t xml:space="preserve">Post Seed</t>
  </si>
  <si>
    <t xml:space="preserve">Post Series A</t>
  </si>
  <si>
    <t xml:space="preserve">Post Series B</t>
  </si>
  <si>
    <t xml:space="preserve">Founders</t>
  </si>
  <si>
    <t xml:space="preserve">ESOP</t>
  </si>
  <si>
    <t xml:space="preserve">Pre-Seed angels</t>
  </si>
  <si>
    <t xml:space="preserve">Seed investors</t>
  </si>
  <si>
    <t xml:space="preserve">Series A investors</t>
  </si>
  <si>
    <t xml:space="preserve">Series B investors</t>
  </si>
  <si>
    <t xml:space="preserve">TOTAL</t>
  </si>
  <si>
    <t xml:space="preserve">Scenarios — Sensitivity</t>
  </si>
  <si>
    <t xml:space="preserve">Conservative (-30% sites, -15% ARPU) / Base / Aggressive (+30% sites, +10% ARPU)</t>
  </si>
  <si>
    <t xml:space="preserve">Metric</t>
  </si>
  <si>
    <t xml:space="preserve">Scenario</t>
  </si>
  <si>
    <t xml:space="preserve">Base</t>
  </si>
  <si>
    <t xml:space="preserve">Conservative (-40%)</t>
  </si>
  <si>
    <t xml:space="preserve">Aggressive (+35%)</t>
  </si>
  <si>
    <t xml:space="preserve">Conservative</t>
  </si>
  <si>
    <t xml:space="preserve">Aggressive</t>
  </si>
  <si>
    <t xml:space="preserve">Executive Summary</t>
  </si>
  <si>
    <t xml:space="preserve">Five-year base case at a glance</t>
  </si>
  <si>
    <t xml:space="preserve">Revenue (USD M)</t>
  </si>
  <si>
    <t xml:space="preserve">USD M</t>
  </si>
  <si>
    <t xml:space="preserve">EBITDA (USD M)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</si>
</sst>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.0"/>
    <numFmt numFmtId="169" formatCode="\$#,##0.0;&quot;($&quot;#,##0.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0A2540"/>
      <name val="Arial"/>
      <family val="0"/>
      <charset val="1"/>
    </font>
    <font>
      <b val="true"/>
      <sz val="1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A254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A25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59D"/>
        <bgColor rgb="FFFFFFCC"/>
      </patternFill>
    </fill>
    <fill>
      <patternFill patternType="solid">
        <fgColor rgb="FF0A2540"/>
        <bgColor rgb="FF003300"/>
      </patternFill>
    </fill>
    <fill>
      <patternFill patternType="solid">
        <fgColor rgb="FF00A685"/>
        <bgColor rgb="FF008080"/>
      </patternFill>
    </fill>
    <fill>
      <patternFill patternType="solid">
        <fgColor rgb="FFE8F1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685"/>
      <rgbColor rgb="FFC0C0C0"/>
      <rgbColor rgb="FF808080"/>
      <rgbColor rgb="FF9999FF"/>
      <rgbColor rgb="FF993366"/>
      <rgbColor rgb="FFFFFFCC"/>
      <rgbColor rgb="FFE8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50"/>
  </cols>
  <sheetData>
    <row r="2" customFormat="false" ht="33.85" hidden="false" customHeight="false" outlineLevel="0" collapsed="false">
      <c r="B2" s="1" t="s">
        <v>0</v>
      </c>
    </row>
    <row r="3" customFormat="false" ht="19.7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7" customFormat="false" ht="15" hidden="false" customHeight="false" outlineLevel="0" collapsed="false">
      <c r="B7" s="5" t="s">
        <v>4</v>
      </c>
      <c r="C7" s="6" t="s">
        <v>5</v>
      </c>
    </row>
    <row r="8" customFormat="false" ht="15" hidden="false" customHeight="false" outlineLevel="0" collapsed="false">
      <c r="B8" s="5" t="s">
        <v>6</v>
      </c>
      <c r="C8" s="6" t="s">
        <v>7</v>
      </c>
    </row>
    <row r="9" customFormat="false" ht="15" hidden="false" customHeight="false" outlineLevel="0" collapsed="false">
      <c r="B9" s="5" t="s">
        <v>8</v>
      </c>
      <c r="C9" s="6" t="s">
        <v>9</v>
      </c>
    </row>
    <row r="11" customFormat="false" ht="15" hidden="false" customHeight="false" outlineLevel="0" collapsed="false">
      <c r="B11" s="7" t="s">
        <v>10</v>
      </c>
    </row>
    <row r="13" customFormat="false" ht="15" hidden="false" customHeight="false" outlineLevel="0" collapsed="false">
      <c r="B13" s="5" t="s">
        <v>11</v>
      </c>
      <c r="C13" s="6" t="s">
        <v>12</v>
      </c>
    </row>
    <row r="14" customFormat="false" ht="15" hidden="false" customHeight="false" outlineLevel="0" collapsed="false">
      <c r="B14" s="5" t="s">
        <v>13</v>
      </c>
      <c r="C14" s="6" t="s">
        <v>14</v>
      </c>
    </row>
    <row r="15" customFormat="false" ht="15" hidden="false" customHeight="false" outlineLevel="0" collapsed="false">
      <c r="B15" s="5" t="s">
        <v>15</v>
      </c>
      <c r="C15" s="6" t="s">
        <v>16</v>
      </c>
    </row>
    <row r="16" customFormat="false" ht="15" hidden="false" customHeight="false" outlineLevel="0" collapsed="false">
      <c r="B16" s="5" t="s">
        <v>17</v>
      </c>
      <c r="C16" s="6" t="s">
        <v>18</v>
      </c>
    </row>
    <row r="17" customFormat="false" ht="15" hidden="false" customHeight="false" outlineLevel="0" collapsed="false">
      <c r="B17" s="5" t="s">
        <v>19</v>
      </c>
      <c r="C17" s="6" t="s">
        <v>20</v>
      </c>
    </row>
    <row r="18" customFormat="false" ht="15" hidden="false" customHeight="false" outlineLevel="0" collapsed="false">
      <c r="B18" s="5" t="s">
        <v>21</v>
      </c>
      <c r="C18" s="6" t="s">
        <v>22</v>
      </c>
    </row>
    <row r="19" customFormat="false" ht="15" hidden="false" customHeight="false" outlineLevel="0" collapsed="false">
      <c r="B19" s="5" t="s">
        <v>23</v>
      </c>
      <c r="C19" s="6" t="s">
        <v>24</v>
      </c>
    </row>
    <row r="20" customFormat="false" ht="15" hidden="false" customHeight="false" outlineLevel="0" collapsed="false">
      <c r="B20" s="5" t="s">
        <v>25</v>
      </c>
      <c r="C20" s="6" t="s">
        <v>26</v>
      </c>
    </row>
    <row r="21" customFormat="false" ht="15" hidden="false" customHeight="false" outlineLevel="0" collapsed="false">
      <c r="B21" s="5" t="s">
        <v>27</v>
      </c>
      <c r="C21" s="6" t="s">
        <v>28</v>
      </c>
    </row>
    <row r="22" customFormat="false" ht="15" hidden="false" customHeight="false" outlineLevel="0" collapsed="false">
      <c r="B22" s="5" t="s">
        <v>29</v>
      </c>
      <c r="C22" s="6" t="s">
        <v>30</v>
      </c>
    </row>
    <row r="23" customFormat="false" ht="15" hidden="false" customHeight="false" outlineLevel="0" collapsed="false">
      <c r="B23" s="5" t="s">
        <v>31</v>
      </c>
      <c r="C23" s="6" t="s">
        <v>32</v>
      </c>
    </row>
    <row r="25" customFormat="false" ht="15" hidden="false" customHeight="false" outlineLevel="0" collapsed="false">
      <c r="B25" s="7" t="s">
        <v>33</v>
      </c>
    </row>
    <row r="27" customFormat="false" ht="15" hidden="false" customHeight="false" outlineLevel="0" collapsed="false">
      <c r="B27" s="8" t="s">
        <v>34</v>
      </c>
      <c r="C27" s="6" t="s">
        <v>35</v>
      </c>
    </row>
    <row r="28" customFormat="false" ht="15" hidden="false" customHeight="false" outlineLevel="0" collapsed="false">
      <c r="B28" s="9" t="s">
        <v>36</v>
      </c>
      <c r="C28" s="6" t="s">
        <v>37</v>
      </c>
    </row>
    <row r="29" customFormat="false" ht="15" hidden="false" customHeight="false" outlineLevel="0" collapsed="false">
      <c r="B29" s="10" t="s">
        <v>38</v>
      </c>
      <c r="C29" s="6" t="s">
        <v>39</v>
      </c>
    </row>
    <row r="30" customFormat="false" ht="15" hidden="false" customHeight="false" outlineLevel="0" collapsed="false">
      <c r="B30" s="11" t="s">
        <v>40</v>
      </c>
      <c r="C30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8" min="4" style="0" width="13"/>
    <col collapsed="false" customWidth="true" hidden="false" outlineLevel="0" max="9" min="9" style="0" width="30"/>
  </cols>
  <sheetData>
    <row r="2" customFormat="false" ht="22.05" hidden="false" customHeight="false" outlineLevel="0" collapsed="false">
      <c r="B2" s="12" t="s">
        <v>13</v>
      </c>
    </row>
    <row r="3" customFormat="false" ht="15" hidden="false" customHeight="false" outlineLevel="0" collapsed="false">
      <c r="B3" s="3" t="s">
        <v>42</v>
      </c>
    </row>
    <row r="5" customFormat="false" ht="15" hidden="false" customHeight="false" outlineLevel="0" collapsed="false">
      <c r="B5" s="13" t="s">
        <v>43</v>
      </c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  <c r="I5" s="15" t="s">
        <v>50</v>
      </c>
    </row>
    <row r="7" customFormat="false" ht="15" hidden="false" customHeight="false" outlineLevel="0" collapsed="false">
      <c r="B7" s="16" t="s">
        <v>51</v>
      </c>
      <c r="C7" s="17"/>
      <c r="D7" s="17"/>
      <c r="E7" s="17"/>
      <c r="F7" s="17"/>
      <c r="G7" s="17"/>
      <c r="H7" s="17"/>
      <c r="I7" s="17"/>
    </row>
    <row r="8" customFormat="false" ht="15" hidden="false" customHeight="false" outlineLevel="0" collapsed="false">
      <c r="B8" s="6" t="s">
        <v>52</v>
      </c>
      <c r="C8" s="18" t="s">
        <v>53</v>
      </c>
      <c r="D8" s="19" t="n">
        <v>4</v>
      </c>
      <c r="E8" s="19" t="n">
        <v>14</v>
      </c>
      <c r="F8" s="19" t="n">
        <v>32</v>
      </c>
      <c r="G8" s="19" t="n">
        <v>60</v>
      </c>
      <c r="H8" s="19" t="n">
        <v>95</v>
      </c>
      <c r="I8" s="20" t="s">
        <v>54</v>
      </c>
    </row>
    <row r="9" customFormat="false" ht="15" hidden="false" customHeight="false" outlineLevel="0" collapsed="false">
      <c r="B9" s="6" t="s">
        <v>55</v>
      </c>
      <c r="C9" s="18" t="s">
        <v>53</v>
      </c>
      <c r="D9" s="21" t="n">
        <v>1</v>
      </c>
      <c r="E9" s="21" t="n">
        <v>4</v>
      </c>
      <c r="F9" s="21" t="n">
        <v>12</v>
      </c>
      <c r="G9" s="21" t="n">
        <v>24</v>
      </c>
      <c r="H9" s="21" t="n">
        <v>38</v>
      </c>
      <c r="I9" s="20" t="s">
        <v>56</v>
      </c>
    </row>
    <row r="10" customFormat="false" ht="15" hidden="false" customHeight="false" outlineLevel="0" collapsed="false">
      <c r="B10" s="6" t="s">
        <v>57</v>
      </c>
      <c r="C10" s="18" t="s">
        <v>53</v>
      </c>
      <c r="D10" s="21" t="n">
        <v>0</v>
      </c>
      <c r="E10" s="21" t="n">
        <v>2</v>
      </c>
      <c r="F10" s="21" t="n">
        <v>8</v>
      </c>
      <c r="G10" s="21" t="n">
        <v>18</v>
      </c>
      <c r="H10" s="21" t="n">
        <v>30</v>
      </c>
      <c r="I10" s="20" t="s">
        <v>58</v>
      </c>
    </row>
    <row r="11" customFormat="false" ht="15" hidden="false" customHeight="false" outlineLevel="0" collapsed="false">
      <c r="B11" s="6" t="s">
        <v>59</v>
      </c>
      <c r="C11" s="18" t="s">
        <v>53</v>
      </c>
      <c r="D11" s="19" t="n">
        <v>0</v>
      </c>
      <c r="E11" s="19" t="n">
        <v>0</v>
      </c>
      <c r="F11" s="19" t="n">
        <v>8</v>
      </c>
      <c r="G11" s="19" t="n">
        <v>28</v>
      </c>
      <c r="H11" s="19" t="n">
        <v>65</v>
      </c>
      <c r="I11" s="20" t="s">
        <v>60</v>
      </c>
    </row>
    <row r="12" customFormat="false" ht="15" hidden="false" customHeight="false" outlineLevel="0" collapsed="false">
      <c r="B12" s="6" t="s">
        <v>61</v>
      </c>
      <c r="C12" s="18" t="s">
        <v>53</v>
      </c>
      <c r="D12" s="21" t="n">
        <v>0</v>
      </c>
      <c r="E12" s="21" t="n">
        <v>0</v>
      </c>
      <c r="F12" s="21" t="n">
        <v>2</v>
      </c>
      <c r="G12" s="21" t="n">
        <v>10</v>
      </c>
      <c r="H12" s="21" t="n">
        <v>28</v>
      </c>
      <c r="I12" s="20" t="s">
        <v>62</v>
      </c>
    </row>
    <row r="14" customFormat="false" ht="15" hidden="false" customHeight="false" outlineLevel="0" collapsed="false">
      <c r="B14" s="16" t="s">
        <v>63</v>
      </c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B15" s="6" t="s">
        <v>64</v>
      </c>
      <c r="C15" s="18" t="s">
        <v>65</v>
      </c>
      <c r="D15" s="21" t="n">
        <v>18000</v>
      </c>
      <c r="E15" s="21" t="n">
        <v>19000</v>
      </c>
      <c r="F15" s="21" t="n">
        <v>20000</v>
      </c>
      <c r="G15" s="21" t="n">
        <v>21000</v>
      </c>
      <c r="H15" s="21" t="n">
        <v>22000</v>
      </c>
      <c r="I15" s="20" t="s">
        <v>66</v>
      </c>
    </row>
    <row r="16" customFormat="false" ht="15" hidden="false" customHeight="false" outlineLevel="0" collapsed="false">
      <c r="B16" s="6" t="s">
        <v>67</v>
      </c>
      <c r="C16" s="18" t="s">
        <v>65</v>
      </c>
      <c r="D16" s="21" t="n">
        <v>45000</v>
      </c>
      <c r="E16" s="21" t="n">
        <v>47000</v>
      </c>
      <c r="F16" s="21" t="n">
        <v>50000</v>
      </c>
      <c r="G16" s="21" t="n">
        <v>52000</v>
      </c>
      <c r="H16" s="21" t="n">
        <v>55000</v>
      </c>
      <c r="I16" s="20" t="s">
        <v>68</v>
      </c>
    </row>
    <row r="17" customFormat="false" ht="15" hidden="false" customHeight="false" outlineLevel="0" collapsed="false">
      <c r="B17" s="6" t="s">
        <v>69</v>
      </c>
      <c r="C17" s="18" t="s">
        <v>65</v>
      </c>
      <c r="D17" s="21" t="n">
        <v>12000</v>
      </c>
      <c r="E17" s="21" t="n">
        <v>13000</v>
      </c>
      <c r="F17" s="21" t="n">
        <v>13500</v>
      </c>
      <c r="G17" s="21" t="n">
        <v>14000</v>
      </c>
      <c r="H17" s="21" t="n">
        <v>14500</v>
      </c>
      <c r="I17" s="20" t="s">
        <v>70</v>
      </c>
    </row>
    <row r="18" customFormat="false" ht="15" hidden="false" customHeight="false" outlineLevel="0" collapsed="false">
      <c r="B18" s="6" t="s">
        <v>71</v>
      </c>
      <c r="C18" s="18" t="s">
        <v>65</v>
      </c>
      <c r="D18" s="21" t="n">
        <v>0</v>
      </c>
      <c r="E18" s="21" t="n">
        <v>0</v>
      </c>
      <c r="F18" s="21" t="n">
        <v>22000</v>
      </c>
      <c r="G18" s="21" t="n">
        <v>23000</v>
      </c>
      <c r="H18" s="21" t="n">
        <v>24000</v>
      </c>
    </row>
    <row r="20" customFormat="false" ht="15" hidden="false" customHeight="false" outlineLevel="0" collapsed="false">
      <c r="B20" s="16" t="s">
        <v>72</v>
      </c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B21" s="6" t="s">
        <v>73</v>
      </c>
      <c r="C21" s="18" t="s">
        <v>74</v>
      </c>
      <c r="D21" s="21" t="n">
        <v>4500</v>
      </c>
      <c r="E21" s="21" t="n">
        <v>4700</v>
      </c>
      <c r="F21" s="21" t="n">
        <v>4900</v>
      </c>
      <c r="G21" s="21" t="n">
        <v>5100</v>
      </c>
      <c r="H21" s="21" t="n">
        <v>5300</v>
      </c>
    </row>
    <row r="22" customFormat="false" ht="15" hidden="false" customHeight="false" outlineLevel="0" collapsed="false">
      <c r="B22" s="6" t="s">
        <v>75</v>
      </c>
      <c r="C22" s="18" t="s">
        <v>74</v>
      </c>
      <c r="D22" s="21" t="n">
        <v>9500</v>
      </c>
      <c r="E22" s="21" t="n">
        <v>9800</v>
      </c>
      <c r="F22" s="21" t="n">
        <v>10000</v>
      </c>
      <c r="G22" s="21" t="n">
        <v>10300</v>
      </c>
      <c r="H22" s="21" t="n">
        <v>10600</v>
      </c>
    </row>
    <row r="23" customFormat="false" ht="15" hidden="false" customHeight="false" outlineLevel="0" collapsed="false">
      <c r="B23" s="6" t="s">
        <v>76</v>
      </c>
      <c r="C23" s="18" t="s">
        <v>74</v>
      </c>
      <c r="D23" s="21" t="n">
        <v>3000</v>
      </c>
      <c r="E23" s="21" t="n">
        <v>3100</v>
      </c>
      <c r="F23" s="21" t="n">
        <v>3200</v>
      </c>
      <c r="G23" s="21" t="n">
        <v>3300</v>
      </c>
      <c r="H23" s="21" t="n">
        <v>3400</v>
      </c>
    </row>
    <row r="24" customFormat="false" ht="15" hidden="false" customHeight="false" outlineLevel="0" collapsed="false">
      <c r="B24" s="6" t="s">
        <v>77</v>
      </c>
      <c r="C24" s="18" t="s">
        <v>74</v>
      </c>
      <c r="D24" s="21" t="n">
        <v>0</v>
      </c>
      <c r="E24" s="21" t="n">
        <v>0</v>
      </c>
      <c r="F24" s="21" t="n">
        <v>5000</v>
      </c>
      <c r="G24" s="21" t="n">
        <v>5200</v>
      </c>
      <c r="H24" s="21" t="n">
        <v>5400</v>
      </c>
    </row>
    <row r="26" customFormat="false" ht="15" hidden="false" customHeight="false" outlineLevel="0" collapsed="false">
      <c r="B26" s="16" t="s">
        <v>78</v>
      </c>
      <c r="C26" s="17"/>
      <c r="D26" s="17"/>
      <c r="E26" s="17"/>
      <c r="F26" s="17"/>
      <c r="G26" s="17"/>
      <c r="H26" s="17"/>
      <c r="I26" s="17"/>
    </row>
    <row r="27" customFormat="false" ht="15" hidden="false" customHeight="false" outlineLevel="0" collapsed="false">
      <c r="B27" s="6" t="s">
        <v>79</v>
      </c>
      <c r="C27" s="18" t="s">
        <v>80</v>
      </c>
      <c r="D27" s="21" t="n">
        <v>180</v>
      </c>
      <c r="E27" s="21" t="n">
        <v>220</v>
      </c>
      <c r="F27" s="21" t="n">
        <v>260</v>
      </c>
      <c r="G27" s="21" t="n">
        <v>290</v>
      </c>
      <c r="H27" s="21" t="n">
        <v>320</v>
      </c>
    </row>
    <row r="28" customFormat="false" ht="15" hidden="false" customHeight="false" outlineLevel="0" collapsed="false">
      <c r="B28" s="6" t="s">
        <v>81</v>
      </c>
      <c r="C28" s="18" t="s">
        <v>80</v>
      </c>
      <c r="D28" s="21" t="n">
        <v>320</v>
      </c>
      <c r="E28" s="21" t="n">
        <v>380</v>
      </c>
      <c r="F28" s="21" t="n">
        <v>440</v>
      </c>
      <c r="G28" s="21" t="n">
        <v>500</v>
      </c>
      <c r="H28" s="21" t="n">
        <v>560</v>
      </c>
    </row>
    <row r="29" customFormat="false" ht="15" hidden="false" customHeight="false" outlineLevel="0" collapsed="false">
      <c r="B29" s="6" t="s">
        <v>82</v>
      </c>
      <c r="C29" s="18" t="s">
        <v>80</v>
      </c>
      <c r="D29" s="21" t="n">
        <v>80</v>
      </c>
      <c r="E29" s="21" t="n">
        <v>120</v>
      </c>
      <c r="F29" s="21" t="n">
        <v>180</v>
      </c>
      <c r="G29" s="21" t="n">
        <v>220</v>
      </c>
      <c r="H29" s="21" t="n">
        <v>260</v>
      </c>
    </row>
    <row r="30" customFormat="false" ht="15" hidden="false" customHeight="false" outlineLevel="0" collapsed="false">
      <c r="B30" s="6" t="s">
        <v>83</v>
      </c>
      <c r="C30" s="18" t="s">
        <v>80</v>
      </c>
      <c r="D30" s="21" t="n">
        <v>0</v>
      </c>
      <c r="E30" s="21" t="n">
        <v>0</v>
      </c>
      <c r="F30" s="21" t="n">
        <v>200</v>
      </c>
      <c r="G30" s="21" t="n">
        <v>260</v>
      </c>
      <c r="H30" s="21" t="n">
        <v>320</v>
      </c>
    </row>
    <row r="31" customFormat="false" ht="15" hidden="false" customHeight="false" outlineLevel="0" collapsed="false">
      <c r="B31" s="6" t="s">
        <v>84</v>
      </c>
      <c r="C31" s="18" t="s">
        <v>65</v>
      </c>
      <c r="D31" s="19" t="n">
        <v>35</v>
      </c>
      <c r="E31" s="19" t="n">
        <v>38</v>
      </c>
      <c r="F31" s="19" t="n">
        <v>42</v>
      </c>
      <c r="G31" s="19" t="n">
        <v>48</v>
      </c>
      <c r="H31" s="19" t="n">
        <v>55</v>
      </c>
      <c r="I31" s="20" t="s">
        <v>85</v>
      </c>
    </row>
    <row r="33" customFormat="false" ht="15" hidden="false" customHeight="false" outlineLevel="0" collapsed="false">
      <c r="B33" s="16" t="s">
        <v>86</v>
      </c>
      <c r="C33" s="17"/>
      <c r="D33" s="17"/>
      <c r="E33" s="17"/>
      <c r="F33" s="17"/>
      <c r="G33" s="17"/>
      <c r="H33" s="17"/>
      <c r="I33" s="17"/>
    </row>
    <row r="34" customFormat="false" ht="15" hidden="false" customHeight="false" outlineLevel="0" collapsed="false">
      <c r="B34" s="6" t="s">
        <v>87</v>
      </c>
      <c r="C34" s="18" t="s">
        <v>88</v>
      </c>
      <c r="D34" s="22" t="n">
        <v>0.5</v>
      </c>
      <c r="E34" s="22" t="n">
        <v>0.5</v>
      </c>
      <c r="F34" s="22" t="n">
        <v>0.6</v>
      </c>
      <c r="G34" s="22" t="n">
        <v>0.6</v>
      </c>
      <c r="H34" s="22" t="n">
        <v>0.65</v>
      </c>
      <c r="I34" s="20" t="s">
        <v>89</v>
      </c>
    </row>
    <row r="36" customFormat="false" ht="15" hidden="false" customHeight="false" outlineLevel="0" collapsed="false">
      <c r="B36" s="16" t="s">
        <v>90</v>
      </c>
      <c r="C36" s="17"/>
      <c r="D36" s="17"/>
      <c r="E36" s="17"/>
      <c r="F36" s="17"/>
      <c r="G36" s="17"/>
      <c r="H36" s="17"/>
      <c r="I36" s="17"/>
    </row>
    <row r="37" customFormat="false" ht="15" hidden="false" customHeight="false" outlineLevel="0" collapsed="false">
      <c r="B37" s="6" t="s">
        <v>91</v>
      </c>
      <c r="C37" s="18" t="s">
        <v>65</v>
      </c>
      <c r="D37" s="21" t="n">
        <v>9000</v>
      </c>
      <c r="E37" s="21" t="n">
        <v>8500</v>
      </c>
      <c r="F37" s="21" t="n">
        <v>8000</v>
      </c>
      <c r="G37" s="21" t="n">
        <v>7800</v>
      </c>
      <c r="H37" s="21" t="n">
        <v>7500</v>
      </c>
      <c r="I37" s="20" t="s">
        <v>92</v>
      </c>
    </row>
    <row r="38" customFormat="false" ht="15" hidden="false" customHeight="false" outlineLevel="0" collapsed="false">
      <c r="B38" s="6" t="s">
        <v>93</v>
      </c>
      <c r="C38" s="18" t="s">
        <v>74</v>
      </c>
      <c r="D38" s="21" t="n">
        <v>180</v>
      </c>
      <c r="E38" s="21" t="n">
        <v>170</v>
      </c>
      <c r="F38" s="21" t="n">
        <v>160</v>
      </c>
      <c r="G38" s="21" t="n">
        <v>150</v>
      </c>
      <c r="H38" s="21" t="n">
        <v>140</v>
      </c>
    </row>
    <row r="39" customFormat="false" ht="15" hidden="false" customHeight="false" outlineLevel="0" collapsed="false">
      <c r="B39" s="6" t="s">
        <v>94</v>
      </c>
      <c r="C39" s="18" t="s">
        <v>65</v>
      </c>
      <c r="D39" s="21" t="n">
        <v>3</v>
      </c>
      <c r="E39" s="21" t="n">
        <v>3</v>
      </c>
      <c r="F39" s="21" t="n">
        <v>2.5</v>
      </c>
      <c r="G39" s="21" t="n">
        <v>2</v>
      </c>
      <c r="H39" s="21" t="n">
        <v>2</v>
      </c>
    </row>
    <row r="40" customFormat="false" ht="15" hidden="false" customHeight="false" outlineLevel="0" collapsed="false">
      <c r="B40" s="6" t="s">
        <v>95</v>
      </c>
      <c r="C40" s="18" t="s">
        <v>74</v>
      </c>
      <c r="D40" s="21" t="n">
        <v>220</v>
      </c>
      <c r="E40" s="21" t="n">
        <v>200</v>
      </c>
      <c r="F40" s="21" t="n">
        <v>180</v>
      </c>
      <c r="G40" s="21" t="n">
        <v>170</v>
      </c>
      <c r="H40" s="21" t="n">
        <v>160</v>
      </c>
    </row>
    <row r="42" customFormat="false" ht="15" hidden="false" customHeight="false" outlineLevel="0" collapsed="false">
      <c r="B42" s="16" t="s">
        <v>96</v>
      </c>
      <c r="C42" s="17"/>
      <c r="D42" s="17"/>
      <c r="E42" s="17"/>
      <c r="F42" s="17"/>
      <c r="G42" s="17"/>
      <c r="H42" s="17"/>
      <c r="I42" s="17"/>
    </row>
    <row r="43" customFormat="false" ht="15" hidden="false" customHeight="false" outlineLevel="0" collapsed="false">
      <c r="B43" s="6" t="s">
        <v>97</v>
      </c>
      <c r="C43" s="18" t="s">
        <v>80</v>
      </c>
      <c r="D43" s="21" t="n">
        <v>4</v>
      </c>
      <c r="E43" s="21" t="n">
        <v>8</v>
      </c>
      <c r="F43" s="21" t="n">
        <v>14</v>
      </c>
      <c r="G43" s="21" t="n">
        <v>22</v>
      </c>
      <c r="H43" s="21" t="n">
        <v>32</v>
      </c>
    </row>
    <row r="44" customFormat="false" ht="15" hidden="false" customHeight="false" outlineLevel="0" collapsed="false">
      <c r="B44" s="6" t="s">
        <v>98</v>
      </c>
      <c r="C44" s="18" t="s">
        <v>80</v>
      </c>
      <c r="D44" s="21" t="n">
        <v>2</v>
      </c>
      <c r="E44" s="21" t="n">
        <v>4</v>
      </c>
      <c r="F44" s="21" t="n">
        <v>6</v>
      </c>
      <c r="G44" s="21" t="n">
        <v>9</v>
      </c>
      <c r="H44" s="21" t="n">
        <v>13</v>
      </c>
    </row>
    <row r="45" customFormat="false" ht="15" hidden="false" customHeight="false" outlineLevel="0" collapsed="false">
      <c r="B45" s="6" t="s">
        <v>99</v>
      </c>
      <c r="C45" s="18" t="s">
        <v>80</v>
      </c>
      <c r="D45" s="21" t="n">
        <v>2</v>
      </c>
      <c r="E45" s="21" t="n">
        <v>5</v>
      </c>
      <c r="F45" s="21" t="n">
        <v>12</v>
      </c>
      <c r="G45" s="21" t="n">
        <v>22</v>
      </c>
      <c r="H45" s="21" t="n">
        <v>38</v>
      </c>
    </row>
    <row r="46" customFormat="false" ht="15" hidden="false" customHeight="false" outlineLevel="0" collapsed="false">
      <c r="B46" s="6" t="s">
        <v>100</v>
      </c>
      <c r="C46" s="18" t="s">
        <v>80</v>
      </c>
      <c r="D46" s="21" t="n">
        <v>1</v>
      </c>
      <c r="E46" s="21" t="n">
        <v>3</v>
      </c>
      <c r="F46" s="21" t="n">
        <v>5</v>
      </c>
      <c r="G46" s="21" t="n">
        <v>8</v>
      </c>
      <c r="H46" s="21" t="n">
        <v>12</v>
      </c>
    </row>
    <row r="47" customFormat="false" ht="15" hidden="false" customHeight="false" outlineLevel="0" collapsed="false">
      <c r="B47" s="6" t="s">
        <v>101</v>
      </c>
      <c r="C47" s="18" t="s">
        <v>102</v>
      </c>
      <c r="D47" s="19" t="n">
        <v>320000</v>
      </c>
      <c r="E47" s="19" t="n">
        <v>340000</v>
      </c>
      <c r="F47" s="19" t="n">
        <v>360000</v>
      </c>
      <c r="G47" s="19" t="n">
        <v>380000</v>
      </c>
      <c r="H47" s="19" t="n">
        <v>400000</v>
      </c>
      <c r="I47" s="20" t="s">
        <v>103</v>
      </c>
    </row>
    <row r="49" customFormat="false" ht="15" hidden="false" customHeight="false" outlineLevel="0" collapsed="false">
      <c r="B49" s="16" t="s">
        <v>104</v>
      </c>
      <c r="C49" s="17"/>
      <c r="D49" s="17"/>
      <c r="E49" s="17"/>
      <c r="F49" s="17"/>
      <c r="G49" s="17"/>
      <c r="H49" s="17"/>
      <c r="I49" s="17"/>
    </row>
    <row r="50" customFormat="false" ht="15" hidden="false" customHeight="false" outlineLevel="0" collapsed="false">
      <c r="B50" s="6" t="s">
        <v>105</v>
      </c>
      <c r="C50" s="18" t="s">
        <v>65</v>
      </c>
      <c r="D50" s="21" t="n">
        <v>400000</v>
      </c>
      <c r="E50" s="21" t="n">
        <v>1500000</v>
      </c>
      <c r="F50" s="21" t="n">
        <v>4500000</v>
      </c>
      <c r="G50" s="21" t="n">
        <v>9000000</v>
      </c>
      <c r="H50" s="21" t="n">
        <v>16000000</v>
      </c>
    </row>
    <row r="51" customFormat="false" ht="15" hidden="false" customHeight="false" outlineLevel="0" collapsed="false">
      <c r="B51" s="6" t="s">
        <v>106</v>
      </c>
      <c r="C51" s="18" t="s">
        <v>65</v>
      </c>
      <c r="D51" s="21" t="n">
        <v>350000</v>
      </c>
      <c r="E51" s="21" t="n">
        <v>450000</v>
      </c>
      <c r="F51" s="21" t="n">
        <v>350000</v>
      </c>
      <c r="G51" s="21" t="n">
        <v>400000</v>
      </c>
      <c r="H51" s="21" t="n">
        <v>450000</v>
      </c>
    </row>
    <row r="52" customFormat="false" ht="15" hidden="false" customHeight="false" outlineLevel="0" collapsed="false">
      <c r="B52" s="6" t="s">
        <v>107</v>
      </c>
      <c r="C52" s="18" t="s">
        <v>65</v>
      </c>
      <c r="D52" s="21" t="n">
        <v>120000</v>
      </c>
      <c r="E52" s="21" t="n">
        <v>350000</v>
      </c>
      <c r="F52" s="21" t="n">
        <v>800000</v>
      </c>
      <c r="G52" s="21" t="n">
        <v>1500000</v>
      </c>
      <c r="H52" s="21" t="n">
        <v>2500000</v>
      </c>
    </row>
    <row r="53" customFormat="false" ht="15" hidden="false" customHeight="false" outlineLevel="0" collapsed="false">
      <c r="B53" s="6" t="s">
        <v>108</v>
      </c>
      <c r="C53" s="18" t="s">
        <v>65</v>
      </c>
      <c r="D53" s="21" t="n">
        <v>180000</v>
      </c>
      <c r="E53" s="21" t="n">
        <v>380000</v>
      </c>
      <c r="F53" s="21" t="n">
        <v>720000</v>
      </c>
      <c r="G53" s="21" t="n">
        <v>1300000</v>
      </c>
      <c r="H53" s="21" t="n">
        <v>2200000</v>
      </c>
    </row>
    <row r="54" customFormat="false" ht="15" hidden="false" customHeight="false" outlineLevel="0" collapsed="false">
      <c r="B54" s="6" t="s">
        <v>109</v>
      </c>
      <c r="C54" s="18" t="s">
        <v>65</v>
      </c>
      <c r="D54" s="21" t="n">
        <v>150000</v>
      </c>
      <c r="E54" s="21" t="n">
        <v>250000</v>
      </c>
      <c r="F54" s="21" t="n">
        <v>350000</v>
      </c>
      <c r="G54" s="21" t="n">
        <v>450000</v>
      </c>
      <c r="H54" s="21" t="n">
        <v>600000</v>
      </c>
    </row>
    <row r="55" customFormat="false" ht="15" hidden="false" customHeight="false" outlineLevel="0" collapsed="false">
      <c r="B55" s="6" t="s">
        <v>110</v>
      </c>
      <c r="C55" s="18" t="s">
        <v>65</v>
      </c>
      <c r="D55" s="21" t="n">
        <v>100000</v>
      </c>
      <c r="E55" s="21" t="n">
        <v>250000</v>
      </c>
      <c r="F55" s="21" t="n">
        <v>500000</v>
      </c>
      <c r="G55" s="21" t="n">
        <v>850000</v>
      </c>
      <c r="H55" s="21" t="n">
        <v>1400000</v>
      </c>
    </row>
    <row r="57" customFormat="false" ht="15" hidden="false" customHeight="false" outlineLevel="0" collapsed="false">
      <c r="B57" s="16" t="s">
        <v>111</v>
      </c>
      <c r="C57" s="17"/>
      <c r="D57" s="17"/>
      <c r="E57" s="17"/>
      <c r="F57" s="17"/>
      <c r="G57" s="17"/>
      <c r="H57" s="17"/>
      <c r="I57" s="17"/>
    </row>
    <row r="58" customFormat="false" ht="15" hidden="false" customHeight="false" outlineLevel="0" collapsed="false">
      <c r="B58" s="6" t="s">
        <v>112</v>
      </c>
      <c r="C58" s="18" t="s">
        <v>88</v>
      </c>
      <c r="D58" s="22" t="n">
        <v>0.1</v>
      </c>
      <c r="E58" s="22" t="n">
        <v>0.1</v>
      </c>
      <c r="F58" s="22" t="n">
        <v>0.12</v>
      </c>
      <c r="G58" s="22" t="n">
        <v>0.12</v>
      </c>
      <c r="H58" s="22" t="n">
        <v>0.12</v>
      </c>
    </row>
    <row r="59" customFormat="false" ht="15" hidden="false" customHeight="false" outlineLevel="0" collapsed="false">
      <c r="B59" s="6" t="s">
        <v>113</v>
      </c>
      <c r="C59" s="18" t="s">
        <v>88</v>
      </c>
      <c r="D59" s="22" t="n">
        <v>0.03</v>
      </c>
      <c r="E59" s="22" t="n">
        <v>0.03</v>
      </c>
      <c r="F59" s="22" t="n">
        <v>0.04</v>
      </c>
      <c r="G59" s="22" t="n">
        <v>0.04</v>
      </c>
      <c r="H59" s="22" t="n">
        <v>0.04</v>
      </c>
    </row>
    <row r="60" customFormat="false" ht="15" hidden="false" customHeight="false" outlineLevel="0" collapsed="false">
      <c r="B60" s="6" t="s">
        <v>114</v>
      </c>
      <c r="C60" s="18" t="s">
        <v>88</v>
      </c>
      <c r="D60" s="22" t="n">
        <v>0</v>
      </c>
      <c r="E60" s="22" t="n">
        <v>0</v>
      </c>
      <c r="F60" s="22" t="n">
        <v>0.09</v>
      </c>
      <c r="G60" s="22" t="n">
        <v>0.09</v>
      </c>
      <c r="H60" s="22" t="n">
        <v>0.09</v>
      </c>
      <c r="I60" s="20" t="s">
        <v>115</v>
      </c>
    </row>
    <row r="61" customFormat="false" ht="15" hidden="false" customHeight="false" outlineLevel="0" collapsed="false">
      <c r="B61" s="6" t="s">
        <v>116</v>
      </c>
      <c r="C61" s="18" t="s">
        <v>117</v>
      </c>
      <c r="D61" s="21" t="n">
        <v>3.67</v>
      </c>
      <c r="E61" s="21" t="n">
        <v>3.67</v>
      </c>
      <c r="F61" s="21" t="n">
        <v>3.67</v>
      </c>
      <c r="G61" s="21" t="n">
        <v>3.67</v>
      </c>
      <c r="H61" s="21" t="n">
        <v>3.67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8" min="4" style="0" width="14"/>
  </cols>
  <sheetData>
    <row r="2" customFormat="false" ht="22.05" hidden="false" customHeight="false" outlineLevel="0" collapsed="false">
      <c r="B2" s="12" t="s">
        <v>118</v>
      </c>
    </row>
    <row r="3" customFormat="false" ht="15" hidden="false" customHeight="false" outlineLevel="0" collapsed="false">
      <c r="B3" s="3" t="s">
        <v>119</v>
      </c>
    </row>
    <row r="5" customFormat="false" ht="15" hidden="false" customHeight="false" outlineLevel="0" collapsed="false">
      <c r="B5" s="15" t="s">
        <v>120</v>
      </c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</row>
    <row r="7" customFormat="false" ht="15" hidden="false" customHeight="false" outlineLevel="0" collapsed="false">
      <c r="B7" s="23" t="s">
        <v>121</v>
      </c>
      <c r="C7" s="17"/>
      <c r="D7" s="17"/>
      <c r="E7" s="17"/>
      <c r="F7" s="17"/>
      <c r="G7" s="17"/>
      <c r="H7" s="17"/>
    </row>
    <row r="8" customFormat="false" ht="15" hidden="false" customHeight="false" outlineLevel="0" collapsed="false">
      <c r="B8" s="6" t="s">
        <v>122</v>
      </c>
      <c r="C8" s="18" t="s">
        <v>53</v>
      </c>
      <c r="D8" s="24" t="n">
        <f aca="false">Assumptions!D8</f>
        <v>4</v>
      </c>
      <c r="E8" s="24" t="n">
        <f aca="false">Assumptions!E8</f>
        <v>14</v>
      </c>
      <c r="F8" s="24" t="n">
        <f aca="false">Assumptions!F8</f>
        <v>32</v>
      </c>
      <c r="G8" s="24" t="n">
        <f aca="false">Assumptions!G8</f>
        <v>60</v>
      </c>
      <c r="H8" s="24" t="n">
        <f aca="false">Assumptions!H8</f>
        <v>95</v>
      </c>
    </row>
    <row r="9" customFormat="false" ht="15" hidden="false" customHeight="false" outlineLevel="0" collapsed="false">
      <c r="B9" s="6" t="s">
        <v>123</v>
      </c>
      <c r="C9" s="18" t="s">
        <v>53</v>
      </c>
      <c r="D9" s="24" t="n">
        <f aca="false">Assumptions!D9</f>
        <v>1</v>
      </c>
      <c r="E9" s="24" t="n">
        <f aca="false">Assumptions!E9</f>
        <v>4</v>
      </c>
      <c r="F9" s="24" t="n">
        <f aca="false">Assumptions!F9</f>
        <v>12</v>
      </c>
      <c r="G9" s="24" t="n">
        <f aca="false">Assumptions!G9</f>
        <v>24</v>
      </c>
      <c r="H9" s="24" t="n">
        <f aca="false">Assumptions!H9</f>
        <v>38</v>
      </c>
    </row>
    <row r="10" customFormat="false" ht="15" hidden="false" customHeight="false" outlineLevel="0" collapsed="false">
      <c r="B10" s="6" t="s">
        <v>124</v>
      </c>
      <c r="C10" s="18" t="s">
        <v>53</v>
      </c>
      <c r="D10" s="24" t="n">
        <f aca="false">Assumptions!D10</f>
        <v>0</v>
      </c>
      <c r="E10" s="24" t="n">
        <f aca="false">Assumptions!E10</f>
        <v>2</v>
      </c>
      <c r="F10" s="24" t="n">
        <f aca="false">Assumptions!F10</f>
        <v>8</v>
      </c>
      <c r="G10" s="24" t="n">
        <f aca="false">Assumptions!G10</f>
        <v>18</v>
      </c>
      <c r="H10" s="24" t="n">
        <f aca="false">Assumptions!H10</f>
        <v>30</v>
      </c>
    </row>
    <row r="11" customFormat="false" ht="15" hidden="false" customHeight="false" outlineLevel="0" collapsed="false">
      <c r="B11" s="6" t="s">
        <v>125</v>
      </c>
      <c r="C11" s="18" t="s">
        <v>53</v>
      </c>
      <c r="D11" s="24" t="n">
        <f aca="false">Assumptions!D11</f>
        <v>0</v>
      </c>
      <c r="E11" s="24" t="n">
        <f aca="false">Assumptions!E11</f>
        <v>0</v>
      </c>
      <c r="F11" s="24" t="n">
        <f aca="false">Assumptions!F11</f>
        <v>8</v>
      </c>
      <c r="G11" s="24" t="n">
        <f aca="false">Assumptions!G11</f>
        <v>28</v>
      </c>
      <c r="H11" s="24" t="n">
        <f aca="false">Assumptions!H11</f>
        <v>65</v>
      </c>
    </row>
    <row r="12" customFormat="false" ht="15" hidden="false" customHeight="false" outlineLevel="0" collapsed="false">
      <c r="B12" s="6" t="s">
        <v>126</v>
      </c>
      <c r="C12" s="18" t="s">
        <v>53</v>
      </c>
      <c r="D12" s="24" t="n">
        <f aca="false">Assumptions!D12</f>
        <v>0</v>
      </c>
      <c r="E12" s="24" t="n">
        <f aca="false">Assumptions!E12</f>
        <v>0</v>
      </c>
      <c r="F12" s="24" t="n">
        <f aca="false">Assumptions!F12</f>
        <v>2</v>
      </c>
      <c r="G12" s="24" t="n">
        <f aca="false">Assumptions!G12</f>
        <v>10</v>
      </c>
      <c r="H12" s="24" t="n">
        <f aca="false">Assumptions!H12</f>
        <v>28</v>
      </c>
    </row>
    <row r="13" customFormat="false" ht="15" hidden="false" customHeight="false" outlineLevel="0" collapsed="false">
      <c r="B13" s="5" t="s">
        <v>127</v>
      </c>
      <c r="C13" s="18" t="s">
        <v>53</v>
      </c>
      <c r="D13" s="25" t="n">
        <f aca="false">SUM(D8:D12)</f>
        <v>5</v>
      </c>
      <c r="E13" s="25" t="n">
        <f aca="false">SUM(E8:E12)</f>
        <v>20</v>
      </c>
      <c r="F13" s="25" t="n">
        <f aca="false">SUM(F8:F12)</f>
        <v>62</v>
      </c>
      <c r="G13" s="25" t="n">
        <f aca="false">SUM(G8:G12)</f>
        <v>140</v>
      </c>
      <c r="H13" s="25" t="n">
        <f aca="false">SUM(H8:H12)</f>
        <v>256</v>
      </c>
    </row>
    <row r="15" customFormat="false" ht="15" hidden="false" customHeight="false" outlineLevel="0" collapsed="false">
      <c r="B15" s="23" t="s">
        <v>128</v>
      </c>
      <c r="C15" s="17"/>
      <c r="D15" s="17"/>
      <c r="E15" s="17"/>
      <c r="F15" s="17"/>
      <c r="G15" s="17"/>
      <c r="H15" s="17"/>
    </row>
    <row r="16" customFormat="false" ht="15" hidden="false" customHeight="false" outlineLevel="0" collapsed="false">
      <c r="B16" s="6" t="s">
        <v>129</v>
      </c>
      <c r="C16" s="18" t="s">
        <v>53</v>
      </c>
      <c r="D16" s="26" t="n">
        <f aca="false">Assumptions!D8</f>
        <v>4</v>
      </c>
      <c r="E16" s="26" t="n">
        <f aca="false">Assumptions!E8-Assumptions!D8</f>
        <v>10</v>
      </c>
      <c r="F16" s="26" t="n">
        <f aca="false">Assumptions!F8-Assumptions!E8</f>
        <v>18</v>
      </c>
      <c r="G16" s="26" t="n">
        <f aca="false">Assumptions!G8-Assumptions!F8</f>
        <v>28</v>
      </c>
      <c r="H16" s="26" t="n">
        <f aca="false">Assumptions!H8-Assumptions!G8</f>
        <v>35</v>
      </c>
    </row>
    <row r="17" customFormat="false" ht="15" hidden="false" customHeight="false" outlineLevel="0" collapsed="false">
      <c r="B17" s="6" t="s">
        <v>130</v>
      </c>
      <c r="C17" s="18" t="s">
        <v>53</v>
      </c>
      <c r="D17" s="26" t="n">
        <f aca="false">Assumptions!D9</f>
        <v>1</v>
      </c>
      <c r="E17" s="26" t="n">
        <f aca="false">Assumptions!E9-Assumptions!D9</f>
        <v>3</v>
      </c>
      <c r="F17" s="26" t="n">
        <f aca="false">Assumptions!F9-Assumptions!E9</f>
        <v>8</v>
      </c>
      <c r="G17" s="26" t="n">
        <f aca="false">Assumptions!G9-Assumptions!F9</f>
        <v>12</v>
      </c>
      <c r="H17" s="26" t="n">
        <f aca="false">Assumptions!H9-Assumptions!G9</f>
        <v>14</v>
      </c>
    </row>
    <row r="18" customFormat="false" ht="15" hidden="false" customHeight="false" outlineLevel="0" collapsed="false">
      <c r="B18" s="6" t="s">
        <v>131</v>
      </c>
      <c r="C18" s="18" t="s">
        <v>53</v>
      </c>
      <c r="D18" s="26" t="n">
        <f aca="false">Assumptions!D10</f>
        <v>0</v>
      </c>
      <c r="E18" s="26" t="n">
        <f aca="false">Assumptions!E10-Assumptions!D10</f>
        <v>2</v>
      </c>
      <c r="F18" s="26" t="n">
        <f aca="false">Assumptions!F10-Assumptions!E10</f>
        <v>6</v>
      </c>
      <c r="G18" s="26" t="n">
        <f aca="false">Assumptions!G10-Assumptions!F10</f>
        <v>10</v>
      </c>
      <c r="H18" s="26" t="n">
        <f aca="false">Assumptions!H10-Assumptions!G10</f>
        <v>12</v>
      </c>
    </row>
    <row r="19" customFormat="false" ht="15" hidden="false" customHeight="false" outlineLevel="0" collapsed="false">
      <c r="B19" s="6" t="s">
        <v>132</v>
      </c>
      <c r="C19" s="18" t="s">
        <v>53</v>
      </c>
      <c r="D19" s="26" t="n">
        <f aca="false">Assumptions!D11</f>
        <v>0</v>
      </c>
      <c r="E19" s="26" t="n">
        <f aca="false">Assumptions!E11-Assumptions!D11</f>
        <v>0</v>
      </c>
      <c r="F19" s="26" t="n">
        <f aca="false">Assumptions!F11-Assumptions!E11</f>
        <v>8</v>
      </c>
      <c r="G19" s="26" t="n">
        <f aca="false">Assumptions!G11-Assumptions!F11</f>
        <v>20</v>
      </c>
      <c r="H19" s="26" t="n">
        <f aca="false">Assumptions!H11-Assumptions!G11</f>
        <v>37</v>
      </c>
    </row>
    <row r="20" customFormat="false" ht="15" hidden="false" customHeight="false" outlineLevel="0" collapsed="false">
      <c r="B20" s="6" t="s">
        <v>133</v>
      </c>
      <c r="C20" s="18" t="s">
        <v>53</v>
      </c>
      <c r="D20" s="26" t="n">
        <f aca="false">Assumptions!D12</f>
        <v>0</v>
      </c>
      <c r="E20" s="26" t="n">
        <f aca="false">Assumptions!E12-Assumptions!D12</f>
        <v>0</v>
      </c>
      <c r="F20" s="26" t="n">
        <f aca="false">Assumptions!F12-Assumptions!E12</f>
        <v>2</v>
      </c>
      <c r="G20" s="26" t="n">
        <f aca="false">Assumptions!G12-Assumptions!F12</f>
        <v>8</v>
      </c>
      <c r="H20" s="26" t="n">
        <f aca="false">Assumptions!H12-Assumptions!G12</f>
        <v>18</v>
      </c>
    </row>
    <row r="21" customFormat="false" ht="15" hidden="false" customHeight="false" outlineLevel="0" collapsed="false">
      <c r="B21" s="5" t="s">
        <v>134</v>
      </c>
      <c r="C21" s="18" t="s">
        <v>53</v>
      </c>
      <c r="D21" s="25" t="n">
        <f aca="false">SUM(D16:D20)</f>
        <v>5</v>
      </c>
      <c r="E21" s="25" t="n">
        <f aca="false">SUM(E16:E20)</f>
        <v>15</v>
      </c>
      <c r="F21" s="25" t="n">
        <f aca="false">SUM(F16:F20)</f>
        <v>42</v>
      </c>
      <c r="G21" s="25" t="n">
        <f aca="false">SUM(G16:G20)</f>
        <v>78</v>
      </c>
      <c r="H21" s="25" t="n">
        <f aca="false">SUM(H16:H20)</f>
        <v>116</v>
      </c>
    </row>
    <row r="23" customFormat="false" ht="15" hidden="false" customHeight="false" outlineLevel="0" collapsed="false">
      <c r="B23" s="23" t="s">
        <v>135</v>
      </c>
      <c r="C23" s="17"/>
      <c r="D23" s="17"/>
      <c r="E23" s="17"/>
      <c r="F23" s="17"/>
      <c r="G23" s="17"/>
      <c r="H23" s="17"/>
    </row>
    <row r="24" customFormat="false" ht="15" hidden="false" customHeight="false" outlineLevel="0" collapsed="false">
      <c r="B24" s="6" t="s">
        <v>136</v>
      </c>
      <c r="C24" s="18" t="s">
        <v>65</v>
      </c>
      <c r="D24" s="26" t="n">
        <f aca="false">D16*Assumptions!D15</f>
        <v>72000</v>
      </c>
      <c r="E24" s="26" t="n">
        <f aca="false">E16*Assumptions!E15</f>
        <v>190000</v>
      </c>
      <c r="F24" s="26" t="n">
        <f aca="false">F16*Assumptions!F15</f>
        <v>360000</v>
      </c>
      <c r="G24" s="26" t="n">
        <f aca="false">G16*Assumptions!G15</f>
        <v>588000</v>
      </c>
      <c r="H24" s="26" t="n">
        <f aca="false">H16*Assumptions!H15</f>
        <v>770000</v>
      </c>
    </row>
    <row r="25" customFormat="false" ht="15" hidden="false" customHeight="false" outlineLevel="0" collapsed="false">
      <c r="B25" s="6" t="s">
        <v>137</v>
      </c>
      <c r="C25" s="18" t="s">
        <v>65</v>
      </c>
      <c r="D25" s="26" t="n">
        <f aca="false">D17*Assumptions!D16</f>
        <v>45000</v>
      </c>
      <c r="E25" s="26" t="n">
        <f aca="false">E17*Assumptions!E16</f>
        <v>141000</v>
      </c>
      <c r="F25" s="26" t="n">
        <f aca="false">F17*Assumptions!F16</f>
        <v>400000</v>
      </c>
      <c r="G25" s="26" t="n">
        <f aca="false">G17*Assumptions!G16</f>
        <v>624000</v>
      </c>
      <c r="H25" s="26" t="n">
        <f aca="false">H17*Assumptions!H16</f>
        <v>770000</v>
      </c>
    </row>
    <row r="26" customFormat="false" ht="15" hidden="false" customHeight="false" outlineLevel="0" collapsed="false">
      <c r="B26" s="6" t="s">
        <v>138</v>
      </c>
      <c r="C26" s="18" t="s">
        <v>65</v>
      </c>
      <c r="D26" s="26" t="n">
        <f aca="false">D18*Assumptions!D17</f>
        <v>0</v>
      </c>
      <c r="E26" s="26" t="n">
        <f aca="false">E18*Assumptions!E17</f>
        <v>26000</v>
      </c>
      <c r="F26" s="26" t="n">
        <f aca="false">F18*Assumptions!F17</f>
        <v>81000</v>
      </c>
      <c r="G26" s="26" t="n">
        <f aca="false">G18*Assumptions!G17</f>
        <v>140000</v>
      </c>
      <c r="H26" s="26" t="n">
        <f aca="false">H18*Assumptions!H17</f>
        <v>174000</v>
      </c>
    </row>
    <row r="27" customFormat="false" ht="15" hidden="false" customHeight="false" outlineLevel="0" collapsed="false">
      <c r="B27" s="6" t="s">
        <v>139</v>
      </c>
      <c r="C27" s="18" t="s">
        <v>65</v>
      </c>
      <c r="D27" s="26" t="n">
        <f aca="false">(D19+D20)*Assumptions!D18</f>
        <v>0</v>
      </c>
      <c r="E27" s="26" t="n">
        <f aca="false">(E19+E20)*Assumptions!E18</f>
        <v>0</v>
      </c>
      <c r="F27" s="26" t="n">
        <f aca="false">(F19+F20)*Assumptions!F18</f>
        <v>220000</v>
      </c>
      <c r="G27" s="26" t="n">
        <f aca="false">(G19+G20)*Assumptions!G18</f>
        <v>644000</v>
      </c>
      <c r="H27" s="26" t="n">
        <f aca="false">(H19+H20)*Assumptions!H18</f>
        <v>1320000</v>
      </c>
    </row>
    <row r="28" customFormat="false" ht="15" hidden="false" customHeight="false" outlineLevel="0" collapsed="false">
      <c r="B28" s="5" t="s">
        <v>140</v>
      </c>
      <c r="C28" s="18" t="s">
        <v>65</v>
      </c>
      <c r="D28" s="25" t="n">
        <f aca="false">SUM(D24:D27)</f>
        <v>117000</v>
      </c>
      <c r="E28" s="25" t="n">
        <f aca="false">SUM(E24:E27)</f>
        <v>357000</v>
      </c>
      <c r="F28" s="25" t="n">
        <f aca="false">SUM(F24:F27)</f>
        <v>1061000</v>
      </c>
      <c r="G28" s="25" t="n">
        <f aca="false">SUM(G24:G27)</f>
        <v>1996000</v>
      </c>
      <c r="H28" s="25" t="n">
        <f aca="false">SUM(H24:H27)</f>
        <v>3034000</v>
      </c>
    </row>
    <row r="30" customFormat="false" ht="15" hidden="false" customHeight="false" outlineLevel="0" collapsed="false">
      <c r="B30" s="23" t="s">
        <v>141</v>
      </c>
      <c r="C30" s="17"/>
      <c r="D30" s="17"/>
      <c r="E30" s="17"/>
      <c r="F30" s="17"/>
      <c r="G30" s="17"/>
      <c r="H30" s="17"/>
    </row>
    <row r="31" customFormat="false" ht="15" hidden="false" customHeight="false" outlineLevel="0" collapsed="false">
      <c r="B31" s="6" t="s">
        <v>142</v>
      </c>
      <c r="C31" s="18" t="s">
        <v>65</v>
      </c>
      <c r="D31" s="26" t="n">
        <f aca="false">12*Assumptions!D8*Assumptions!D34*Assumptions!D21</f>
        <v>108000</v>
      </c>
      <c r="E31" s="26" t="n">
        <f aca="false">12*(Assumptions!D8+(Assumptions!E8-Assumptions!D8)*Assumptions!E34)*Assumptions!E21</f>
        <v>507600</v>
      </c>
      <c r="F31" s="26" t="n">
        <f aca="false">12*(Assumptions!E8+(Assumptions!F8-Assumptions!E8)*Assumptions!F34)*Assumptions!F21</f>
        <v>1458240</v>
      </c>
      <c r="G31" s="26" t="n">
        <f aca="false">12*(Assumptions!F8+(Assumptions!G8-Assumptions!F8)*Assumptions!G34)*Assumptions!G21</f>
        <v>2986560</v>
      </c>
      <c r="H31" s="26" t="n">
        <f aca="false">12*(Assumptions!G8+(Assumptions!H8-Assumptions!G8)*Assumptions!H34)*Assumptions!H21</f>
        <v>5262900</v>
      </c>
    </row>
    <row r="32" customFormat="false" ht="15" hidden="false" customHeight="false" outlineLevel="0" collapsed="false">
      <c r="B32" s="6" t="s">
        <v>143</v>
      </c>
      <c r="C32" s="18" t="s">
        <v>65</v>
      </c>
      <c r="D32" s="26" t="n">
        <f aca="false">12*Assumptions!D9*Assumptions!D34*Assumptions!D22</f>
        <v>57000</v>
      </c>
      <c r="E32" s="26" t="n">
        <f aca="false">12*(Assumptions!D9+(Assumptions!E9-Assumptions!D9)*Assumptions!E34)*Assumptions!E22</f>
        <v>294000</v>
      </c>
      <c r="F32" s="26" t="n">
        <f aca="false">12*(Assumptions!E9+(Assumptions!F9-Assumptions!E9)*Assumptions!F34)*Assumptions!F22</f>
        <v>1056000</v>
      </c>
      <c r="G32" s="26" t="n">
        <f aca="false">12*(Assumptions!F9+(Assumptions!G9-Assumptions!F9)*Assumptions!G34)*Assumptions!G22</f>
        <v>2373120</v>
      </c>
      <c r="H32" s="26" t="n">
        <f aca="false">12*(Assumptions!G9+(Assumptions!H9-Assumptions!G9)*Assumptions!H34)*Assumptions!H22</f>
        <v>4210320</v>
      </c>
    </row>
    <row r="33" customFormat="false" ht="15" hidden="false" customHeight="false" outlineLevel="0" collapsed="false">
      <c r="B33" s="6" t="s">
        <v>144</v>
      </c>
      <c r="C33" s="18" t="s">
        <v>65</v>
      </c>
      <c r="D33" s="26" t="n">
        <f aca="false">12*Assumptions!D10*Assumptions!D34*Assumptions!D23</f>
        <v>0</v>
      </c>
      <c r="E33" s="26" t="n">
        <f aca="false">12*(Assumptions!D10+(Assumptions!E10-Assumptions!D10)*Assumptions!E34)*Assumptions!E23</f>
        <v>37200</v>
      </c>
      <c r="F33" s="26" t="n">
        <f aca="false">12*(Assumptions!E10+(Assumptions!F10-Assumptions!E10)*Assumptions!F34)*Assumptions!F23</f>
        <v>215040</v>
      </c>
      <c r="G33" s="26" t="n">
        <f aca="false">12*(Assumptions!F10+(Assumptions!G10-Assumptions!F10)*Assumptions!G34)*Assumptions!G23</f>
        <v>554400</v>
      </c>
      <c r="H33" s="26" t="n">
        <f aca="false">12*(Assumptions!G10+(Assumptions!H10-Assumptions!G10)*Assumptions!H34)*Assumptions!H23</f>
        <v>1052640</v>
      </c>
    </row>
    <row r="34" customFormat="false" ht="15" hidden="false" customHeight="false" outlineLevel="0" collapsed="false">
      <c r="B34" s="6" t="s">
        <v>145</v>
      </c>
      <c r="C34" s="18" t="s">
        <v>65</v>
      </c>
      <c r="D34" s="26" t="n">
        <f aca="false">12*(Assumptions!D11*Assumptions!D34+Assumptions!D12*Assumptions!D34)*Assumptions!D24</f>
        <v>0</v>
      </c>
      <c r="E34" s="26" t="n">
        <f aca="false">12*((Assumptions!D11+(Assumptions!E11-Assumptions!D11)*Assumptions!E34)+(Assumptions!D12+(Assumptions!E12-Assumptions!D12)*Assumptions!E34))*Assumptions!E24</f>
        <v>0</v>
      </c>
      <c r="F34" s="26" t="n">
        <f aca="false">12*((Assumptions!E11+(Assumptions!F11-Assumptions!E11)*Assumptions!F34)+(Assumptions!E12+(Assumptions!F12-Assumptions!E12)*Assumptions!F34))*Assumptions!F24</f>
        <v>360000</v>
      </c>
      <c r="G34" s="26" t="n">
        <f aca="false">12*((Assumptions!F11+(Assumptions!G11-Assumptions!F11)*Assumptions!G34)+(Assumptions!F12+(Assumptions!G12-Assumptions!F12)*Assumptions!G34))*Assumptions!G24</f>
        <v>1672320</v>
      </c>
      <c r="H34" s="26" t="n">
        <f aca="false">12*((Assumptions!G11+(Assumptions!H11-Assumptions!G11)*Assumptions!H34)+(Assumptions!G12+(Assumptions!H12-Assumptions!G12)*Assumptions!H34))*Assumptions!H24</f>
        <v>4779000</v>
      </c>
    </row>
    <row r="35" customFormat="false" ht="15" hidden="false" customHeight="false" outlineLevel="0" collapsed="false">
      <c r="B35" s="5" t="s">
        <v>146</v>
      </c>
      <c r="C35" s="18" t="s">
        <v>65</v>
      </c>
      <c r="D35" s="25" t="n">
        <f aca="false">SUM(D31:D34)</f>
        <v>165000</v>
      </c>
      <c r="E35" s="25" t="n">
        <f aca="false">SUM(E31:E34)</f>
        <v>838800</v>
      </c>
      <c r="F35" s="25" t="n">
        <f aca="false">SUM(F31:F34)</f>
        <v>3089280</v>
      </c>
      <c r="G35" s="25" t="n">
        <f aca="false">SUM(G31:G34)</f>
        <v>7586400</v>
      </c>
      <c r="H35" s="25" t="n">
        <f aca="false">SUM(H31:H34)</f>
        <v>15304860</v>
      </c>
    </row>
    <row r="37" customFormat="false" ht="15" hidden="false" customHeight="false" outlineLevel="0" collapsed="false">
      <c r="B37" s="23" t="s">
        <v>147</v>
      </c>
      <c r="C37" s="17"/>
      <c r="D37" s="17"/>
      <c r="E37" s="17"/>
      <c r="F37" s="17"/>
      <c r="G37" s="17"/>
      <c r="H37" s="17"/>
    </row>
    <row r="38" customFormat="false" ht="15" hidden="false" customHeight="false" outlineLevel="0" collapsed="false">
      <c r="B38" s="6" t="s">
        <v>148</v>
      </c>
      <c r="C38" s="18" t="s">
        <v>65</v>
      </c>
      <c r="D38" s="26" t="n">
        <f aca="false">12*Assumptions!D8*Assumptions!D34*Assumptions!D27*Assumptions!D31</f>
        <v>151200</v>
      </c>
      <c r="E38" s="26" t="n">
        <f aca="false">12*(Assumptions!D8+(Assumptions!E8-Assumptions!D8)*Assumptions!E34)*Assumptions!E27*Assumptions!E31</f>
        <v>902880</v>
      </c>
      <c r="F38" s="26" t="n">
        <f aca="false">12*(Assumptions!E8+(Assumptions!F8-Assumptions!E8)*Assumptions!F34)*Assumptions!F27*Assumptions!F31</f>
        <v>3249792</v>
      </c>
      <c r="G38" s="26" t="n">
        <f aca="false">12*(Assumptions!F8+(Assumptions!G8-Assumptions!F8)*Assumptions!G34)*Assumptions!G27*Assumptions!G31</f>
        <v>8151552</v>
      </c>
      <c r="H38" s="26" t="n">
        <f aca="false">12*(Assumptions!G8+(Assumptions!H8-Assumptions!G8)*Assumptions!H34)*Assumptions!H27*Assumptions!H31</f>
        <v>17476800</v>
      </c>
    </row>
    <row r="39" customFormat="false" ht="15" hidden="false" customHeight="false" outlineLevel="0" collapsed="false">
      <c r="B39" s="6" t="s">
        <v>149</v>
      </c>
      <c r="C39" s="18" t="s">
        <v>65</v>
      </c>
      <c r="D39" s="26" t="n">
        <f aca="false">12*Assumptions!D9*Assumptions!D34*Assumptions!D28*Assumptions!D31</f>
        <v>67200</v>
      </c>
      <c r="E39" s="26" t="n">
        <f aca="false">12*(Assumptions!D9+(Assumptions!E9-Assumptions!D9)*Assumptions!E34)*Assumptions!E28*Assumptions!E31</f>
        <v>433200</v>
      </c>
      <c r="F39" s="26" t="n">
        <f aca="false">12*(Assumptions!E9+(Assumptions!F9-Assumptions!E9)*Assumptions!F34)*Assumptions!F28*Assumptions!F31</f>
        <v>1951488</v>
      </c>
      <c r="G39" s="26" t="n">
        <f aca="false">12*(Assumptions!F9+(Assumptions!G9-Assumptions!F9)*Assumptions!G34)*Assumptions!G28*Assumptions!G31</f>
        <v>5529600</v>
      </c>
      <c r="H39" s="26" t="n">
        <f aca="false">12*(Assumptions!G9+(Assumptions!H9-Assumptions!G9)*Assumptions!H34)*Assumptions!H28*Assumptions!H31</f>
        <v>12233760</v>
      </c>
    </row>
    <row r="40" customFormat="false" ht="15" hidden="false" customHeight="false" outlineLevel="0" collapsed="false">
      <c r="B40" s="6" t="s">
        <v>150</v>
      </c>
      <c r="C40" s="18" t="s">
        <v>65</v>
      </c>
      <c r="D40" s="26" t="n">
        <f aca="false">12*Assumptions!D10*Assumptions!D34*Assumptions!D29*Assumptions!D31</f>
        <v>0</v>
      </c>
      <c r="E40" s="26" t="n">
        <f aca="false">12*(Assumptions!D10+(Assumptions!E10-Assumptions!D10)*Assumptions!E34)*Assumptions!E29*Assumptions!E31</f>
        <v>54720</v>
      </c>
      <c r="F40" s="26" t="n">
        <f aca="false">12*(Assumptions!E10+(Assumptions!F10-Assumptions!E10)*Assumptions!F34)*Assumptions!F29*Assumptions!F31</f>
        <v>508032</v>
      </c>
      <c r="G40" s="26" t="n">
        <f aca="false">12*(Assumptions!F10+(Assumptions!G10-Assumptions!F10)*Assumptions!G34)*Assumptions!G29*Assumptions!G31</f>
        <v>1774080</v>
      </c>
      <c r="H40" s="26" t="n">
        <f aca="false">12*(Assumptions!G10+(Assumptions!H10-Assumptions!G10)*Assumptions!H34)*Assumptions!H29*Assumptions!H31</f>
        <v>4427280</v>
      </c>
    </row>
    <row r="41" customFormat="false" ht="15" hidden="false" customHeight="false" outlineLevel="0" collapsed="false">
      <c r="B41" s="6" t="s">
        <v>151</v>
      </c>
      <c r="C41" s="18" t="s">
        <v>65</v>
      </c>
      <c r="D41" s="26" t="n">
        <f aca="false">12*(Assumptions!D11*Assumptions!D34+Assumptions!D12*Assumptions!D34)*Assumptions!D30*Assumptions!D31</f>
        <v>0</v>
      </c>
      <c r="E41" s="26" t="n">
        <f aca="false">12*((Assumptions!D11+(Assumptions!E11-Assumptions!D11)*Assumptions!E34)+(Assumptions!D12+(Assumptions!E12-Assumptions!D12)*Assumptions!E34))*Assumptions!E30*Assumptions!E31</f>
        <v>0</v>
      </c>
      <c r="F41" s="26" t="n">
        <f aca="false">12*((Assumptions!E11+(Assumptions!F11-Assumptions!E11)*Assumptions!F34)+(Assumptions!E12+(Assumptions!F12-Assumptions!E12)*Assumptions!F34))*Assumptions!F30*Assumptions!F31</f>
        <v>604800</v>
      </c>
      <c r="G41" s="26" t="n">
        <f aca="false">12*((Assumptions!F11+(Assumptions!G11-Assumptions!F11)*Assumptions!G34)+(Assumptions!F12+(Assumptions!G12-Assumptions!F12)*Assumptions!G34))*Assumptions!G30*Assumptions!G31</f>
        <v>4013568</v>
      </c>
      <c r="H41" s="26" t="n">
        <f aca="false">12*((Assumptions!G11+(Assumptions!H11-Assumptions!G11)*Assumptions!H34)+(Assumptions!G12+(Assumptions!H12-Assumptions!G12)*Assumptions!H34))*Assumptions!H30*Assumptions!H31</f>
        <v>15576000</v>
      </c>
    </row>
    <row r="42" customFormat="false" ht="15" hidden="false" customHeight="false" outlineLevel="0" collapsed="false">
      <c r="B42" s="5" t="s">
        <v>152</v>
      </c>
      <c r="C42" s="18" t="s">
        <v>65</v>
      </c>
      <c r="D42" s="25" t="n">
        <f aca="false">SUM(D38:D41)</f>
        <v>218400</v>
      </c>
      <c r="E42" s="25" t="n">
        <f aca="false">SUM(E38:E41)</f>
        <v>1390800</v>
      </c>
      <c r="F42" s="25" t="n">
        <f aca="false">SUM(F38:F41)</f>
        <v>6314112</v>
      </c>
      <c r="G42" s="25" t="n">
        <f aca="false">SUM(G38:G41)</f>
        <v>19468800</v>
      </c>
      <c r="H42" s="25" t="n">
        <f aca="false">SUM(H38:H41)</f>
        <v>49713840</v>
      </c>
    </row>
    <row r="44" customFormat="false" ht="15" hidden="false" customHeight="false" outlineLevel="0" collapsed="false">
      <c r="B44" s="27" t="s">
        <v>153</v>
      </c>
      <c r="C44" s="28" t="s">
        <v>65</v>
      </c>
      <c r="D44" s="29" t="n">
        <f aca="false">D28+D35+D42</f>
        <v>500400</v>
      </c>
      <c r="E44" s="29" t="n">
        <f aca="false">E28+E35+E42</f>
        <v>2586600</v>
      </c>
      <c r="F44" s="29" t="n">
        <f aca="false">F28+F35+F42</f>
        <v>10464392</v>
      </c>
      <c r="G44" s="29" t="n">
        <f aca="false">G28+G35+G42</f>
        <v>29051200</v>
      </c>
      <c r="H44" s="29" t="n">
        <f aca="false">H28+H35+H42</f>
        <v>68052700</v>
      </c>
    </row>
    <row r="45" customFormat="false" ht="15" hidden="false" customHeight="false" outlineLevel="0" collapsed="false">
      <c r="B45" s="6" t="s">
        <v>154</v>
      </c>
      <c r="C45" s="18" t="s">
        <v>88</v>
      </c>
      <c r="D45" s="30"/>
      <c r="E45" s="30" t="n">
        <f aca="false">E44/D44-1</f>
        <v>4.16906474820144</v>
      </c>
      <c r="F45" s="30" t="n">
        <f aca="false">F44/E44-1</f>
        <v>3.04561663960411</v>
      </c>
      <c r="G45" s="30" t="n">
        <f aca="false">G44/F44-1</f>
        <v>1.7761956929748</v>
      </c>
      <c r="H45" s="30" t="n">
        <f aca="false">H44/G44-1</f>
        <v>1.34250908740431</v>
      </c>
    </row>
    <row r="46" customFormat="false" ht="15" hidden="false" customHeight="false" outlineLevel="0" collapsed="false">
      <c r="B46" s="5" t="s">
        <v>155</v>
      </c>
      <c r="C46" s="18" t="s">
        <v>156</v>
      </c>
      <c r="D46" s="31" t="n">
        <f aca="false">D44/Assumptions!D61</f>
        <v>136348.773841962</v>
      </c>
      <c r="E46" s="31" t="n">
        <f aca="false">E44/Assumptions!E61</f>
        <v>704795.640326976</v>
      </c>
      <c r="F46" s="31" t="n">
        <f aca="false">F44/Assumptions!F61</f>
        <v>2851332.97002725</v>
      </c>
      <c r="G46" s="31" t="n">
        <f aca="false">G44/Assumptions!G61</f>
        <v>7915858.3106267</v>
      </c>
      <c r="H46" s="31" t="n">
        <f aca="false">H44/Assumptions!H61</f>
        <v>18542970.027248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8" min="4" style="0" width="14"/>
  </cols>
  <sheetData>
    <row r="2" customFormat="false" ht="22.05" hidden="false" customHeight="false" outlineLevel="0" collapsed="false">
      <c r="B2" s="12" t="s">
        <v>157</v>
      </c>
    </row>
    <row r="3" customFormat="false" ht="15" hidden="false" customHeight="false" outlineLevel="0" collapsed="false">
      <c r="B3" s="3" t="s">
        <v>158</v>
      </c>
    </row>
    <row r="5" customFormat="false" ht="15" hidden="false" customHeight="false" outlineLevel="0" collapsed="false">
      <c r="B5" s="15" t="s">
        <v>120</v>
      </c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</row>
    <row r="7" customFormat="false" ht="15" hidden="false" customHeight="false" outlineLevel="0" collapsed="false">
      <c r="B7" s="6" t="s">
        <v>159</v>
      </c>
      <c r="C7" s="18" t="s">
        <v>65</v>
      </c>
      <c r="D7" s="26" t="n">
        <f aca="false">(Revenue!D16+Revenue!D17*2.5+Revenue!D18*0.7+Revenue!D19+Revenue!D20)*Assumptions!D37</f>
        <v>58500</v>
      </c>
      <c r="E7" s="26" t="n">
        <f aca="false">(Revenue!E16+Revenue!E17*2.5+Revenue!E18*0.7+Revenue!E19+Revenue!E20)*Assumptions!E37</f>
        <v>160650</v>
      </c>
      <c r="F7" s="26" t="n">
        <f aca="false">(Revenue!F16+Revenue!F17*2.5+Revenue!F18*0.7+Revenue!F19+Revenue!F20)*Assumptions!F37</f>
        <v>417600</v>
      </c>
      <c r="G7" s="26" t="n">
        <f aca="false">(Revenue!G16+Revenue!G17*2.5+Revenue!G18*0.7+Revenue!G19+Revenue!G20)*Assumptions!G37</f>
        <v>725400</v>
      </c>
      <c r="H7" s="26" t="n">
        <f aca="false">(Revenue!H16+Revenue!H17*2.5+Revenue!H18*0.7+Revenue!H19+Revenue!H20)*Assumptions!H37</f>
        <v>1000500</v>
      </c>
    </row>
    <row r="8" customFormat="false" ht="15" hidden="false" customHeight="false" outlineLevel="0" collapsed="false">
      <c r="B8" s="6" t="s">
        <v>160</v>
      </c>
      <c r="C8" s="18" t="s">
        <v>65</v>
      </c>
      <c r="D8" s="26" t="n">
        <f aca="false">12*Revenue!D13*Assumptions!D38</f>
        <v>10800</v>
      </c>
      <c r="E8" s="26" t="n">
        <f aca="false">12*Revenue!E13*Assumptions!E38</f>
        <v>40800</v>
      </c>
      <c r="F8" s="26" t="n">
        <f aca="false">12*Revenue!F13*Assumptions!F38</f>
        <v>119040</v>
      </c>
      <c r="G8" s="26" t="n">
        <f aca="false">12*Revenue!G13*Assumptions!G38</f>
        <v>252000</v>
      </c>
      <c r="H8" s="26" t="n">
        <f aca="false">12*Revenue!H13*Assumptions!H38</f>
        <v>430080</v>
      </c>
    </row>
    <row r="9" customFormat="false" ht="15" hidden="false" customHeight="false" outlineLevel="0" collapsed="false">
      <c r="B9" s="6" t="s">
        <v>161</v>
      </c>
      <c r="C9" s="18" t="s">
        <v>65</v>
      </c>
      <c r="D9" s="26" t="n">
        <f aca="false">(Revenue!D38+Revenue!D39+Revenue!D40+Revenue!D41)/Assumptions!D31*Assumptions!D39</f>
        <v>18720</v>
      </c>
      <c r="E9" s="26" t="n">
        <f aca="false">(Revenue!E38+Revenue!E39+Revenue!E40+Revenue!E41)/Assumptions!E31*Assumptions!E39</f>
        <v>109800</v>
      </c>
      <c r="F9" s="26" t="n">
        <f aca="false">(Revenue!F38+Revenue!F39+Revenue!F40+Revenue!F41)/Assumptions!F31*Assumptions!F39</f>
        <v>375840</v>
      </c>
      <c r="G9" s="26" t="n">
        <f aca="false">(Revenue!G38+Revenue!G39+Revenue!G40+Revenue!G41)/Assumptions!G31*Assumptions!G39</f>
        <v>811200</v>
      </c>
      <c r="H9" s="26" t="n">
        <f aca="false">(Revenue!H38+Revenue!H39+Revenue!H40+Revenue!H41)/Assumptions!H31*Assumptions!H39</f>
        <v>1807776</v>
      </c>
    </row>
    <row r="10" customFormat="false" ht="15" hidden="false" customHeight="false" outlineLevel="0" collapsed="false">
      <c r="B10" s="6" t="s">
        <v>162</v>
      </c>
      <c r="C10" s="18" t="s">
        <v>65</v>
      </c>
      <c r="D10" s="26" t="n">
        <f aca="false">12*Revenue!D13*Assumptions!D40</f>
        <v>13200</v>
      </c>
      <c r="E10" s="26" t="n">
        <f aca="false">12*Revenue!E13*Assumptions!E40</f>
        <v>48000</v>
      </c>
      <c r="F10" s="26" t="n">
        <f aca="false">12*Revenue!F13*Assumptions!F40</f>
        <v>133920</v>
      </c>
      <c r="G10" s="26" t="n">
        <f aca="false">12*Revenue!G13*Assumptions!G40</f>
        <v>285600</v>
      </c>
      <c r="H10" s="26" t="n">
        <f aca="false">12*Revenue!H13*Assumptions!H40</f>
        <v>491520</v>
      </c>
    </row>
    <row r="11" customFormat="false" ht="15" hidden="false" customHeight="false" outlineLevel="0" collapsed="false">
      <c r="B11" s="5" t="s">
        <v>163</v>
      </c>
      <c r="C11" s="18" t="s">
        <v>65</v>
      </c>
      <c r="D11" s="32" t="n">
        <f aca="false">SUM(D7:D10)</f>
        <v>101220</v>
      </c>
      <c r="E11" s="32" t="n">
        <f aca="false">SUM(E7:E10)</f>
        <v>359250</v>
      </c>
      <c r="F11" s="32" t="n">
        <f aca="false">SUM(F7:F10)</f>
        <v>1046400</v>
      </c>
      <c r="G11" s="32" t="n">
        <f aca="false">SUM(G7:G10)</f>
        <v>2074200</v>
      </c>
      <c r="H11" s="32" t="n">
        <f aca="false">SUM(H7:H10)</f>
        <v>3729876</v>
      </c>
    </row>
    <row r="13" customFormat="false" ht="15" hidden="false" customHeight="false" outlineLevel="0" collapsed="false">
      <c r="B13" s="5" t="s">
        <v>164</v>
      </c>
      <c r="C13" s="18" t="s">
        <v>65</v>
      </c>
      <c r="D13" s="33" t="n">
        <f aca="false">Revenue!D44-D11</f>
        <v>399180</v>
      </c>
      <c r="E13" s="33" t="n">
        <f aca="false">Revenue!E44-E11</f>
        <v>2227350</v>
      </c>
      <c r="F13" s="33" t="n">
        <f aca="false">Revenue!F44-F11</f>
        <v>9417992</v>
      </c>
      <c r="G13" s="33" t="n">
        <f aca="false">Revenue!G44-G11</f>
        <v>26977000</v>
      </c>
      <c r="H13" s="33" t="n">
        <f aca="false">Revenue!H44-H11</f>
        <v>64322824</v>
      </c>
    </row>
    <row r="14" customFormat="false" ht="15" hidden="false" customHeight="false" outlineLevel="0" collapsed="false">
      <c r="B14" s="5" t="s">
        <v>165</v>
      </c>
      <c r="C14" s="18" t="s">
        <v>88</v>
      </c>
      <c r="D14" s="34" t="n">
        <f aca="false">IFERROR(D13/Revenue!D44,0)</f>
        <v>0.797721822541966</v>
      </c>
      <c r="E14" s="34" t="n">
        <f aca="false">IFERROR(E13/Revenue!E44,0)</f>
        <v>0.861111111111111</v>
      </c>
      <c r="F14" s="34" t="n">
        <f aca="false">IFERROR(F13/Revenue!F44,0)</f>
        <v>0.900003746037037</v>
      </c>
      <c r="G14" s="34" t="n">
        <f aca="false">IFERROR(G13/Revenue!G44,0)</f>
        <v>0.928601916616181</v>
      </c>
      <c r="H14" s="34" t="n">
        <f aca="false">IFERROR(H13/Revenue!H44,0)</f>
        <v>0.945191359049678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8" min="4" style="0" width="14"/>
  </cols>
  <sheetData>
    <row r="2" customFormat="false" ht="22.05" hidden="false" customHeight="false" outlineLevel="0" collapsed="false">
      <c r="B2" s="12" t="s">
        <v>166</v>
      </c>
    </row>
    <row r="3" customFormat="false" ht="15" hidden="false" customHeight="false" outlineLevel="0" collapsed="false">
      <c r="B3" s="3" t="s">
        <v>167</v>
      </c>
    </row>
    <row r="5" customFormat="false" ht="15" hidden="false" customHeight="false" outlineLevel="0" collapsed="false">
      <c r="B5" s="15" t="s">
        <v>120</v>
      </c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</row>
    <row r="7" customFormat="false" ht="15" hidden="false" customHeight="false" outlineLevel="0" collapsed="false">
      <c r="B7" s="23" t="s">
        <v>168</v>
      </c>
      <c r="C7" s="17"/>
      <c r="D7" s="17"/>
      <c r="E7" s="17"/>
      <c r="F7" s="17"/>
      <c r="G7" s="17"/>
      <c r="H7" s="17"/>
    </row>
    <row r="8" customFormat="false" ht="15" hidden="false" customHeight="false" outlineLevel="0" collapsed="false">
      <c r="B8" s="6" t="s">
        <v>169</v>
      </c>
      <c r="C8" s="18" t="s">
        <v>170</v>
      </c>
      <c r="D8" s="24" t="n">
        <f aca="false">Assumptions!D43</f>
        <v>4</v>
      </c>
      <c r="E8" s="24" t="n">
        <f aca="false">Assumptions!E43</f>
        <v>8</v>
      </c>
      <c r="F8" s="24" t="n">
        <f aca="false">Assumptions!F43</f>
        <v>14</v>
      </c>
      <c r="G8" s="24" t="n">
        <f aca="false">Assumptions!G43</f>
        <v>22</v>
      </c>
      <c r="H8" s="24" t="n">
        <f aca="false">Assumptions!H43</f>
        <v>32</v>
      </c>
    </row>
    <row r="9" customFormat="false" ht="15" hidden="false" customHeight="false" outlineLevel="0" collapsed="false">
      <c r="B9" s="6" t="s">
        <v>171</v>
      </c>
      <c r="C9" s="18" t="s">
        <v>170</v>
      </c>
      <c r="D9" s="24" t="n">
        <f aca="false">Assumptions!D44</f>
        <v>2</v>
      </c>
      <c r="E9" s="24" t="n">
        <f aca="false">Assumptions!E44</f>
        <v>4</v>
      </c>
      <c r="F9" s="24" t="n">
        <f aca="false">Assumptions!F44</f>
        <v>6</v>
      </c>
      <c r="G9" s="24" t="n">
        <f aca="false">Assumptions!G44</f>
        <v>9</v>
      </c>
      <c r="H9" s="24" t="n">
        <f aca="false">Assumptions!H44</f>
        <v>13</v>
      </c>
    </row>
    <row r="10" customFormat="false" ht="15" hidden="false" customHeight="false" outlineLevel="0" collapsed="false">
      <c r="B10" s="6" t="s">
        <v>172</v>
      </c>
      <c r="C10" s="18" t="s">
        <v>170</v>
      </c>
      <c r="D10" s="24" t="n">
        <f aca="false">Assumptions!D45</f>
        <v>2</v>
      </c>
      <c r="E10" s="24" t="n">
        <f aca="false">Assumptions!E45</f>
        <v>5</v>
      </c>
      <c r="F10" s="24" t="n">
        <f aca="false">Assumptions!F45</f>
        <v>12</v>
      </c>
      <c r="G10" s="24" t="n">
        <f aca="false">Assumptions!G45</f>
        <v>22</v>
      </c>
      <c r="H10" s="24" t="n">
        <f aca="false">Assumptions!H45</f>
        <v>38</v>
      </c>
    </row>
    <row r="11" customFormat="false" ht="15" hidden="false" customHeight="false" outlineLevel="0" collapsed="false">
      <c r="B11" s="6" t="s">
        <v>173</v>
      </c>
      <c r="C11" s="18" t="s">
        <v>170</v>
      </c>
      <c r="D11" s="24" t="n">
        <f aca="false">Assumptions!D46</f>
        <v>1</v>
      </c>
      <c r="E11" s="24" t="n">
        <f aca="false">Assumptions!E46</f>
        <v>3</v>
      </c>
      <c r="F11" s="24" t="n">
        <f aca="false">Assumptions!F46</f>
        <v>5</v>
      </c>
      <c r="G11" s="24" t="n">
        <f aca="false">Assumptions!G46</f>
        <v>8</v>
      </c>
      <c r="H11" s="24" t="n">
        <f aca="false">Assumptions!H46</f>
        <v>12</v>
      </c>
    </row>
    <row r="12" customFormat="false" ht="15" hidden="false" customHeight="false" outlineLevel="0" collapsed="false">
      <c r="B12" s="5" t="s">
        <v>174</v>
      </c>
      <c r="C12" s="18" t="s">
        <v>170</v>
      </c>
      <c r="D12" s="32" t="n">
        <f aca="false">SUM(D8:D11)</f>
        <v>9</v>
      </c>
      <c r="E12" s="32" t="n">
        <f aca="false">SUM(E8:E11)</f>
        <v>20</v>
      </c>
      <c r="F12" s="32" t="n">
        <f aca="false">SUM(F8:F11)</f>
        <v>37</v>
      </c>
      <c r="G12" s="32" t="n">
        <f aca="false">SUM(G8:G11)</f>
        <v>61</v>
      </c>
      <c r="H12" s="32" t="n">
        <f aca="false">SUM(H8:H11)</f>
        <v>95</v>
      </c>
    </row>
    <row r="14" customFormat="false" ht="15" hidden="false" customHeight="false" outlineLevel="0" collapsed="false">
      <c r="B14" s="35" t="s">
        <v>175</v>
      </c>
    </row>
    <row r="15" customFormat="false" ht="15" hidden="false" customHeight="false" outlineLevel="0" collapsed="false">
      <c r="B15" s="23" t="s">
        <v>176</v>
      </c>
      <c r="C15" s="17"/>
      <c r="D15" s="17"/>
      <c r="E15" s="17"/>
      <c r="F15" s="17"/>
      <c r="G15" s="17"/>
      <c r="H15" s="17"/>
    </row>
    <row r="16" customFormat="false" ht="15" hidden="false" customHeight="false" outlineLevel="0" collapsed="false">
      <c r="B16" s="6" t="s">
        <v>169</v>
      </c>
      <c r="C16" s="18" t="s">
        <v>65</v>
      </c>
      <c r="D16" s="26" t="n">
        <f aca="false">D8/2*Assumptions!D47</f>
        <v>640000</v>
      </c>
      <c r="E16" s="26" t="n">
        <f aca="false">(E8+D8)/2*Assumptions!E47</f>
        <v>2040000</v>
      </c>
      <c r="F16" s="26" t="n">
        <f aca="false">(F8+E8)/2*Assumptions!F47</f>
        <v>3960000</v>
      </c>
      <c r="G16" s="26" t="n">
        <f aca="false">(G8+F8)/2*Assumptions!G47</f>
        <v>6840000</v>
      </c>
      <c r="H16" s="26" t="n">
        <f aca="false">(H8+G8)/2*Assumptions!H47</f>
        <v>10800000</v>
      </c>
    </row>
    <row r="17" customFormat="false" ht="15" hidden="false" customHeight="false" outlineLevel="0" collapsed="false">
      <c r="B17" s="6" t="s">
        <v>171</v>
      </c>
      <c r="C17" s="18" t="s">
        <v>65</v>
      </c>
      <c r="D17" s="26" t="n">
        <f aca="false">D9/2*Assumptions!D47</f>
        <v>320000</v>
      </c>
      <c r="E17" s="26" t="n">
        <f aca="false">(E9+D9)/2*Assumptions!E47</f>
        <v>1020000</v>
      </c>
      <c r="F17" s="26" t="n">
        <f aca="false">(F9+E9)/2*Assumptions!F47</f>
        <v>1800000</v>
      </c>
      <c r="G17" s="26" t="n">
        <f aca="false">(G9+F9)/2*Assumptions!G47</f>
        <v>2850000</v>
      </c>
      <c r="H17" s="26" t="n">
        <f aca="false">(H9+G9)/2*Assumptions!H47</f>
        <v>4400000</v>
      </c>
    </row>
    <row r="18" customFormat="false" ht="15" hidden="false" customHeight="false" outlineLevel="0" collapsed="false">
      <c r="B18" s="6" t="s">
        <v>172</v>
      </c>
      <c r="C18" s="18" t="s">
        <v>65</v>
      </c>
      <c r="D18" s="26" t="n">
        <f aca="false">D10/2*Assumptions!D47</f>
        <v>320000</v>
      </c>
      <c r="E18" s="26" t="n">
        <f aca="false">(E10+D10)/2*Assumptions!E47</f>
        <v>1190000</v>
      </c>
      <c r="F18" s="26" t="n">
        <f aca="false">(F10+E10)/2*Assumptions!F47</f>
        <v>3060000</v>
      </c>
      <c r="G18" s="26" t="n">
        <f aca="false">(G10+F10)/2*Assumptions!G47</f>
        <v>6460000</v>
      </c>
      <c r="H18" s="26" t="n">
        <f aca="false">(H10+G10)/2*Assumptions!H47</f>
        <v>12000000</v>
      </c>
    </row>
    <row r="19" customFormat="false" ht="15" hidden="false" customHeight="false" outlineLevel="0" collapsed="false">
      <c r="B19" s="6" t="s">
        <v>173</v>
      </c>
      <c r="C19" s="18" t="s">
        <v>65</v>
      </c>
      <c r="D19" s="26" t="n">
        <f aca="false">D11/2*Assumptions!D47</f>
        <v>160000</v>
      </c>
      <c r="E19" s="26" t="n">
        <f aca="false">(E11+D11)/2*Assumptions!E47</f>
        <v>680000</v>
      </c>
      <c r="F19" s="26" t="n">
        <f aca="false">(F11+E11)/2*Assumptions!F47</f>
        <v>1440000</v>
      </c>
      <c r="G19" s="26" t="n">
        <f aca="false">(G11+F11)/2*Assumptions!G47</f>
        <v>2470000</v>
      </c>
      <c r="H19" s="26" t="n">
        <f aca="false">(H11+G11)/2*Assumptions!H47</f>
        <v>4000000</v>
      </c>
    </row>
    <row r="20" customFormat="false" ht="15" hidden="false" customHeight="false" outlineLevel="0" collapsed="false">
      <c r="B20" s="5" t="s">
        <v>177</v>
      </c>
      <c r="C20" s="18" t="s">
        <v>65</v>
      </c>
      <c r="D20" s="32" t="n">
        <f aca="false">SUM(D16:D19)</f>
        <v>1440000</v>
      </c>
      <c r="E20" s="32" t="n">
        <f aca="false">SUM(E16:E19)</f>
        <v>4930000</v>
      </c>
      <c r="F20" s="32" t="n">
        <f aca="false">SUM(F16:F19)</f>
        <v>10260000</v>
      </c>
      <c r="G20" s="32" t="n">
        <f aca="false">SUM(G16:G19)</f>
        <v>18620000</v>
      </c>
      <c r="H20" s="32" t="n">
        <f aca="false">SUM(H16:H19)</f>
        <v>31200000</v>
      </c>
    </row>
    <row r="22" customFormat="false" ht="15" hidden="false" customHeight="false" outlineLevel="0" collapsed="false">
      <c r="B22" s="23" t="s">
        <v>178</v>
      </c>
      <c r="C22" s="17"/>
      <c r="D22" s="17"/>
      <c r="E22" s="17"/>
      <c r="F22" s="17"/>
      <c r="G22" s="17"/>
      <c r="H22" s="17"/>
    </row>
    <row r="23" customFormat="false" ht="15" hidden="false" customHeight="false" outlineLevel="0" collapsed="false">
      <c r="B23" s="6" t="s">
        <v>179</v>
      </c>
      <c r="C23" s="18" t="s">
        <v>65</v>
      </c>
      <c r="D23" s="24" t="n">
        <f aca="false">Assumptions!D50</f>
        <v>400000</v>
      </c>
      <c r="E23" s="24" t="n">
        <f aca="false">Assumptions!E50</f>
        <v>1500000</v>
      </c>
      <c r="F23" s="24" t="n">
        <f aca="false">Assumptions!F50</f>
        <v>4500000</v>
      </c>
      <c r="G23" s="24" t="n">
        <f aca="false">Assumptions!G50</f>
        <v>9000000</v>
      </c>
      <c r="H23" s="24" t="n">
        <f aca="false">Assumptions!H50</f>
        <v>16000000</v>
      </c>
    </row>
    <row r="24" customFormat="false" ht="15" hidden="false" customHeight="false" outlineLevel="0" collapsed="false">
      <c r="B24" s="6" t="s">
        <v>180</v>
      </c>
      <c r="C24" s="18" t="s">
        <v>65</v>
      </c>
      <c r="D24" s="24" t="n">
        <f aca="false">Assumptions!D51</f>
        <v>350000</v>
      </c>
      <c r="E24" s="24" t="n">
        <f aca="false">Assumptions!E51</f>
        <v>450000</v>
      </c>
      <c r="F24" s="24" t="n">
        <f aca="false">Assumptions!F51</f>
        <v>350000</v>
      </c>
      <c r="G24" s="24" t="n">
        <f aca="false">Assumptions!G51</f>
        <v>400000</v>
      </c>
      <c r="H24" s="24" t="n">
        <f aca="false">Assumptions!H51</f>
        <v>450000</v>
      </c>
    </row>
    <row r="25" customFormat="false" ht="15" hidden="false" customHeight="false" outlineLevel="0" collapsed="false">
      <c r="B25" s="6" t="s">
        <v>181</v>
      </c>
      <c r="C25" s="18" t="s">
        <v>65</v>
      </c>
      <c r="D25" s="24" t="n">
        <f aca="false">Assumptions!D52</f>
        <v>120000</v>
      </c>
      <c r="E25" s="24" t="n">
        <f aca="false">Assumptions!E52</f>
        <v>350000</v>
      </c>
      <c r="F25" s="24" t="n">
        <f aca="false">Assumptions!F52</f>
        <v>800000</v>
      </c>
      <c r="G25" s="24" t="n">
        <f aca="false">Assumptions!G52</f>
        <v>1500000</v>
      </c>
      <c r="H25" s="24" t="n">
        <f aca="false">Assumptions!H52</f>
        <v>2500000</v>
      </c>
    </row>
    <row r="26" customFormat="false" ht="15" hidden="false" customHeight="false" outlineLevel="0" collapsed="false">
      <c r="B26" s="6" t="s">
        <v>182</v>
      </c>
      <c r="C26" s="18" t="s">
        <v>65</v>
      </c>
      <c r="D26" s="24" t="n">
        <f aca="false">Assumptions!D53</f>
        <v>180000</v>
      </c>
      <c r="E26" s="24" t="n">
        <f aca="false">Assumptions!E53</f>
        <v>380000</v>
      </c>
      <c r="F26" s="24" t="n">
        <f aca="false">Assumptions!F53</f>
        <v>720000</v>
      </c>
      <c r="G26" s="24" t="n">
        <f aca="false">Assumptions!G53</f>
        <v>1300000</v>
      </c>
      <c r="H26" s="24" t="n">
        <f aca="false">Assumptions!H53</f>
        <v>2200000</v>
      </c>
    </row>
    <row r="27" customFormat="false" ht="15" hidden="false" customHeight="false" outlineLevel="0" collapsed="false">
      <c r="B27" s="6" t="s">
        <v>183</v>
      </c>
      <c r="C27" s="18" t="s">
        <v>65</v>
      </c>
      <c r="D27" s="24" t="n">
        <f aca="false">Assumptions!D54</f>
        <v>150000</v>
      </c>
      <c r="E27" s="24" t="n">
        <f aca="false">Assumptions!E54</f>
        <v>250000</v>
      </c>
      <c r="F27" s="24" t="n">
        <f aca="false">Assumptions!F54</f>
        <v>350000</v>
      </c>
      <c r="G27" s="24" t="n">
        <f aca="false">Assumptions!G54</f>
        <v>450000</v>
      </c>
      <c r="H27" s="24" t="n">
        <f aca="false">Assumptions!H54</f>
        <v>600000</v>
      </c>
    </row>
    <row r="28" customFormat="false" ht="15" hidden="false" customHeight="false" outlineLevel="0" collapsed="false">
      <c r="B28" s="6" t="s">
        <v>184</v>
      </c>
      <c r="C28" s="18" t="s">
        <v>65</v>
      </c>
      <c r="D28" s="24" t="n">
        <f aca="false">Assumptions!D55</f>
        <v>100000</v>
      </c>
      <c r="E28" s="24" t="n">
        <f aca="false">Assumptions!E55</f>
        <v>250000</v>
      </c>
      <c r="F28" s="24" t="n">
        <f aca="false">Assumptions!F55</f>
        <v>500000</v>
      </c>
      <c r="G28" s="24" t="n">
        <f aca="false">Assumptions!G55</f>
        <v>850000</v>
      </c>
      <c r="H28" s="24" t="n">
        <f aca="false">Assumptions!H55</f>
        <v>1400000</v>
      </c>
    </row>
    <row r="29" customFormat="false" ht="15" hidden="false" customHeight="false" outlineLevel="0" collapsed="false">
      <c r="B29" s="5" t="s">
        <v>185</v>
      </c>
      <c r="C29" s="18" t="s">
        <v>65</v>
      </c>
      <c r="D29" s="32" t="n">
        <f aca="false">SUM(D23:D28)</f>
        <v>1300000</v>
      </c>
      <c r="E29" s="32" t="n">
        <f aca="false">SUM(E23:E28)</f>
        <v>3180000</v>
      </c>
      <c r="F29" s="32" t="n">
        <f aca="false">SUM(F23:F28)</f>
        <v>7220000</v>
      </c>
      <c r="G29" s="32" t="n">
        <f aca="false">SUM(G23:G28)</f>
        <v>13500000</v>
      </c>
      <c r="H29" s="32" t="n">
        <f aca="false">SUM(H23:H28)</f>
        <v>23150000</v>
      </c>
    </row>
    <row r="31" customFormat="false" ht="15" hidden="false" customHeight="false" outlineLevel="0" collapsed="false">
      <c r="B31" s="27" t="s">
        <v>186</v>
      </c>
      <c r="C31" s="28" t="s">
        <v>65</v>
      </c>
      <c r="D31" s="29" t="n">
        <f aca="false">D20+D29</f>
        <v>2740000</v>
      </c>
      <c r="E31" s="29" t="n">
        <f aca="false">E20+E29</f>
        <v>8110000</v>
      </c>
      <c r="F31" s="29" t="n">
        <f aca="false">F20+F29</f>
        <v>17480000</v>
      </c>
      <c r="G31" s="29" t="n">
        <f aca="false">G20+G29</f>
        <v>32120000</v>
      </c>
      <c r="H31" s="29" t="n">
        <f aca="false">H20+H29</f>
        <v>54350000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8" min="4" style="0" width="14"/>
  </cols>
  <sheetData>
    <row r="2" customFormat="false" ht="22.05" hidden="false" customHeight="false" outlineLevel="0" collapsed="false">
      <c r="B2" s="12" t="s">
        <v>187</v>
      </c>
    </row>
    <row r="3" customFormat="false" ht="15" hidden="false" customHeight="false" outlineLevel="0" collapsed="false">
      <c r="B3" s="3" t="s">
        <v>188</v>
      </c>
    </row>
    <row r="5" customFormat="false" ht="15" hidden="false" customHeight="false" outlineLevel="0" collapsed="false">
      <c r="B5" s="15"/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</row>
    <row r="7" customFormat="false" ht="15" hidden="false" customHeight="false" outlineLevel="0" collapsed="false">
      <c r="B7" s="5" t="s">
        <v>15</v>
      </c>
      <c r="C7" s="18" t="s">
        <v>65</v>
      </c>
      <c r="D7" s="33" t="n">
        <f aca="false">Revenue!D44</f>
        <v>500400</v>
      </c>
      <c r="E7" s="33" t="n">
        <f aca="false">Revenue!E44</f>
        <v>2586600</v>
      </c>
      <c r="F7" s="33" t="n">
        <f aca="false">Revenue!F44</f>
        <v>10464392</v>
      </c>
      <c r="G7" s="33" t="n">
        <f aca="false">Revenue!G44</f>
        <v>29051200</v>
      </c>
      <c r="H7" s="33" t="n">
        <f aca="false">Revenue!H44</f>
        <v>68052700</v>
      </c>
    </row>
    <row r="8" customFormat="false" ht="15" hidden="false" customHeight="false" outlineLevel="0" collapsed="false">
      <c r="B8" s="6" t="s">
        <v>154</v>
      </c>
      <c r="C8" s="18" t="s">
        <v>88</v>
      </c>
      <c r="D8" s="30"/>
      <c r="E8" s="30" t="n">
        <f aca="false">E7/D7-1</f>
        <v>4.16906474820144</v>
      </c>
      <c r="F8" s="30" t="n">
        <f aca="false">F7/E7-1</f>
        <v>3.04561663960411</v>
      </c>
      <c r="G8" s="30" t="n">
        <f aca="false">G7/F7-1</f>
        <v>1.7761956929748</v>
      </c>
      <c r="H8" s="30" t="n">
        <f aca="false">H7/G7-1</f>
        <v>1.34250908740431</v>
      </c>
    </row>
    <row r="9" customFormat="false" ht="15" hidden="false" customHeight="false" outlineLevel="0" collapsed="false">
      <c r="B9" s="6" t="s">
        <v>157</v>
      </c>
      <c r="C9" s="18" t="s">
        <v>65</v>
      </c>
      <c r="D9" s="24" t="n">
        <f aca="false">-COGS!D11</f>
        <v>-101220</v>
      </c>
      <c r="E9" s="24" t="n">
        <f aca="false">-COGS!E11</f>
        <v>-359250</v>
      </c>
      <c r="F9" s="24" t="n">
        <f aca="false">-COGS!F11</f>
        <v>-1046400</v>
      </c>
      <c r="G9" s="24" t="n">
        <f aca="false">-COGS!G11</f>
        <v>-2074200</v>
      </c>
      <c r="H9" s="24" t="n">
        <f aca="false">-COGS!H11</f>
        <v>-3729876</v>
      </c>
    </row>
    <row r="10" customFormat="false" ht="15" hidden="false" customHeight="false" outlineLevel="0" collapsed="false">
      <c r="B10" s="5" t="s">
        <v>164</v>
      </c>
      <c r="C10" s="18" t="s">
        <v>65</v>
      </c>
      <c r="D10" s="32" t="n">
        <f aca="false">D7+D9</f>
        <v>399180</v>
      </c>
      <c r="E10" s="32" t="n">
        <f aca="false">E7+E9</f>
        <v>2227350</v>
      </c>
      <c r="F10" s="32" t="n">
        <f aca="false">F7+F9</f>
        <v>9417992</v>
      </c>
      <c r="G10" s="32" t="n">
        <f aca="false">G7+G9</f>
        <v>26977000</v>
      </c>
      <c r="H10" s="32" t="n">
        <f aca="false">H7+H9</f>
        <v>64322824</v>
      </c>
    </row>
    <row r="11" customFormat="false" ht="15" hidden="false" customHeight="false" outlineLevel="0" collapsed="false">
      <c r="B11" s="6" t="s">
        <v>189</v>
      </c>
      <c r="C11" s="18" t="s">
        <v>88</v>
      </c>
      <c r="D11" s="36" t="n">
        <f aca="false">IFERROR(D10/D7,0)</f>
        <v>0.797721822541966</v>
      </c>
      <c r="E11" s="36" t="n">
        <f aca="false">IFERROR(E10/E7,0)</f>
        <v>0.861111111111111</v>
      </c>
      <c r="F11" s="36" t="n">
        <f aca="false">IFERROR(F10/F7,0)</f>
        <v>0.900003746037037</v>
      </c>
      <c r="G11" s="36" t="n">
        <f aca="false">IFERROR(G10/G7,0)</f>
        <v>0.928601916616181</v>
      </c>
      <c r="H11" s="36" t="n">
        <f aca="false">IFERROR(H10/H7,0)</f>
        <v>0.945191359049678</v>
      </c>
    </row>
    <row r="13" customFormat="false" ht="15" hidden="false" customHeight="false" outlineLevel="0" collapsed="false">
      <c r="B13" s="6" t="s">
        <v>190</v>
      </c>
      <c r="C13" s="18" t="s">
        <v>65</v>
      </c>
      <c r="D13" s="24" t="n">
        <f aca="false">-OpEx!D31</f>
        <v>-2740000</v>
      </c>
      <c r="E13" s="24" t="n">
        <f aca="false">-OpEx!E31</f>
        <v>-8110000</v>
      </c>
      <c r="F13" s="24" t="n">
        <f aca="false">-OpEx!F31</f>
        <v>-17480000</v>
      </c>
      <c r="G13" s="24" t="n">
        <f aca="false">-OpEx!G31</f>
        <v>-32120000</v>
      </c>
      <c r="H13" s="24" t="n">
        <f aca="false">-OpEx!H31</f>
        <v>-54350000</v>
      </c>
    </row>
    <row r="15" customFormat="false" ht="15" hidden="false" customHeight="false" outlineLevel="0" collapsed="false">
      <c r="B15" s="5" t="s">
        <v>191</v>
      </c>
      <c r="C15" s="18" t="s">
        <v>65</v>
      </c>
      <c r="D15" s="32" t="n">
        <f aca="false">D10+D13</f>
        <v>-2340820</v>
      </c>
      <c r="E15" s="32" t="n">
        <f aca="false">E10+E13</f>
        <v>-5882650</v>
      </c>
      <c r="F15" s="32" t="n">
        <f aca="false">F10+F13</f>
        <v>-8062008</v>
      </c>
      <c r="G15" s="32" t="n">
        <f aca="false">G10+G13</f>
        <v>-5143000</v>
      </c>
      <c r="H15" s="32" t="n">
        <f aca="false">H10+H13</f>
        <v>9972824</v>
      </c>
    </row>
    <row r="16" customFormat="false" ht="15" hidden="false" customHeight="false" outlineLevel="0" collapsed="false">
      <c r="B16" s="6" t="s">
        <v>192</v>
      </c>
      <c r="C16" s="18" t="s">
        <v>88</v>
      </c>
      <c r="D16" s="36" t="n">
        <f aca="false">IFERROR(D15/D7,0)</f>
        <v>-4.67789768185452</v>
      </c>
      <c r="E16" s="36" t="n">
        <f aca="false">IFERROR(E15/E7,0)</f>
        <v>-2.27427897626228</v>
      </c>
      <c r="F16" s="36" t="n">
        <f aca="false">IFERROR(F15/F7,0)</f>
        <v>-0.7704229734513</v>
      </c>
      <c r="G16" s="36" t="n">
        <f aca="false">IFERROR(G15/G7,0)</f>
        <v>-0.177032274054084</v>
      </c>
      <c r="H16" s="36" t="n">
        <f aca="false">IFERROR(H15/H7,0)</f>
        <v>0.146545603627777</v>
      </c>
    </row>
    <row r="18" customFormat="false" ht="15" hidden="false" customHeight="false" outlineLevel="0" collapsed="false">
      <c r="B18" s="6" t="s">
        <v>193</v>
      </c>
      <c r="C18" s="18" t="s">
        <v>65</v>
      </c>
      <c r="D18" s="37" t="n">
        <f aca="false">-Assumptions!D59*Revenue!D44*0.2</f>
        <v>-3002.4</v>
      </c>
      <c r="E18" s="37" t="n">
        <f aca="false">-Assumptions!E59*Revenue!E44*0.2</f>
        <v>-15519.6</v>
      </c>
      <c r="F18" s="37" t="n">
        <f aca="false">-Assumptions!F59*Revenue!F44*0.2</f>
        <v>-83715.136</v>
      </c>
      <c r="G18" s="37" t="n">
        <f aca="false">-Assumptions!G59*Revenue!G44*0.2</f>
        <v>-232409.6</v>
      </c>
      <c r="H18" s="37" t="n">
        <f aca="false">-Assumptions!H59*Revenue!H44*0.2</f>
        <v>-544421.6</v>
      </c>
    </row>
    <row r="19" customFormat="false" ht="15" hidden="false" customHeight="false" outlineLevel="0" collapsed="false">
      <c r="B19" s="5" t="s">
        <v>194</v>
      </c>
      <c r="C19" s="18" t="s">
        <v>65</v>
      </c>
      <c r="D19" s="33" t="n">
        <f aca="false">D15+D18</f>
        <v>-2343822.4</v>
      </c>
      <c r="E19" s="33" t="n">
        <f aca="false">E15+E18</f>
        <v>-5898169.6</v>
      </c>
      <c r="F19" s="33" t="n">
        <f aca="false">F15+F18</f>
        <v>-8145723.136</v>
      </c>
      <c r="G19" s="33" t="n">
        <f aca="false">G15+G18</f>
        <v>-5375409.6</v>
      </c>
      <c r="H19" s="33" t="n">
        <f aca="false">H15+H18</f>
        <v>9428402.4</v>
      </c>
    </row>
    <row r="21" customFormat="false" ht="15" hidden="false" customHeight="false" outlineLevel="0" collapsed="false">
      <c r="B21" s="6" t="s">
        <v>195</v>
      </c>
      <c r="C21" s="18" t="s">
        <v>65</v>
      </c>
      <c r="D21" s="38" t="n">
        <f aca="false">MAX(0,D19)</f>
        <v>0</v>
      </c>
      <c r="E21" s="38" t="n">
        <f aca="false">MAX(0,E19)</f>
        <v>0</v>
      </c>
      <c r="F21" s="38" t="n">
        <f aca="false">MAX(0,F19)</f>
        <v>0</v>
      </c>
      <c r="G21" s="38" t="n">
        <f aca="false">MAX(0,G19)</f>
        <v>0</v>
      </c>
      <c r="H21" s="38" t="n">
        <f aca="false">MAX(0,H19)</f>
        <v>9428402.4</v>
      </c>
    </row>
    <row r="22" customFormat="false" ht="15" hidden="false" customHeight="false" outlineLevel="0" collapsed="false">
      <c r="B22" s="6" t="s">
        <v>196</v>
      </c>
      <c r="C22" s="18" t="s">
        <v>65</v>
      </c>
      <c r="D22" s="26" t="n">
        <f aca="false">-D21*Assumptions!D60</f>
        <v>-0</v>
      </c>
      <c r="E22" s="26" t="n">
        <f aca="false">-E21*Assumptions!E60</f>
        <v>-0</v>
      </c>
      <c r="F22" s="26" t="n">
        <f aca="false">-F21*Assumptions!F60</f>
        <v>-0</v>
      </c>
      <c r="G22" s="26" t="n">
        <f aca="false">-G21*Assumptions!G60</f>
        <v>-0</v>
      </c>
      <c r="H22" s="26" t="n">
        <f aca="false">-H21*Assumptions!H60</f>
        <v>-848556.216</v>
      </c>
    </row>
    <row r="23" customFormat="false" ht="15" hidden="false" customHeight="false" outlineLevel="0" collapsed="false">
      <c r="B23" s="27" t="s">
        <v>197</v>
      </c>
      <c r="C23" s="28" t="s">
        <v>65</v>
      </c>
      <c r="D23" s="29" t="n">
        <f aca="false">D19+D22</f>
        <v>-2343822.4</v>
      </c>
      <c r="E23" s="29" t="n">
        <f aca="false">E19+E22</f>
        <v>-5898169.6</v>
      </c>
      <c r="F23" s="29" t="n">
        <f aca="false">F19+F22</f>
        <v>-8145723.136</v>
      </c>
      <c r="G23" s="29" t="n">
        <f aca="false">G19+G22</f>
        <v>-5375409.6</v>
      </c>
      <c r="H23" s="29" t="n">
        <f aca="false">H19+H22</f>
        <v>8579846.184</v>
      </c>
    </row>
    <row r="24" customFormat="false" ht="15" hidden="false" customHeight="false" outlineLevel="0" collapsed="false">
      <c r="B24" s="6" t="s">
        <v>198</v>
      </c>
      <c r="C24" s="18" t="s">
        <v>88</v>
      </c>
      <c r="D24" s="30" t="n">
        <f aca="false">IFERROR(D23/D7,0)</f>
        <v>-4.68389768185452</v>
      </c>
      <c r="E24" s="30" t="n">
        <f aca="false">IFERROR(E23/E7,0)</f>
        <v>-2.28027897626227</v>
      </c>
      <c r="F24" s="30" t="n">
        <f aca="false">IFERROR(F23/F7,0)</f>
        <v>-0.7784229734513</v>
      </c>
      <c r="G24" s="30" t="n">
        <f aca="false">IFERROR(G23/G7,0)</f>
        <v>-0.185032274054084</v>
      </c>
      <c r="H24" s="30" t="n">
        <f aca="false">IFERROR(H23/H7,0)</f>
        <v>0.126076499301277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8" min="4" style="0" width="14"/>
  </cols>
  <sheetData>
    <row r="2" customFormat="false" ht="22.05" hidden="false" customHeight="false" outlineLevel="0" collapsed="false">
      <c r="B2" s="12" t="s">
        <v>199</v>
      </c>
    </row>
    <row r="3" customFormat="false" ht="15" hidden="false" customHeight="false" outlineLevel="0" collapsed="false">
      <c r="B3" s="3" t="s">
        <v>200</v>
      </c>
    </row>
    <row r="5" customFormat="false" ht="15" hidden="false" customHeight="false" outlineLevel="0" collapsed="false">
      <c r="B5" s="15"/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</row>
    <row r="7" customFormat="false" ht="15" hidden="false" customHeight="false" outlineLevel="0" collapsed="false">
      <c r="B7" s="6" t="s">
        <v>197</v>
      </c>
      <c r="C7" s="18" t="s">
        <v>65</v>
      </c>
      <c r="D7" s="24" t="n">
        <f aca="false">'P&amp;L'!D23</f>
        <v>-2343822.4</v>
      </c>
      <c r="E7" s="24" t="n">
        <f aca="false">'P&amp;L'!E23</f>
        <v>-5898169.6</v>
      </c>
      <c r="F7" s="24" t="n">
        <f aca="false">'P&amp;L'!F23</f>
        <v>-8145723.136</v>
      </c>
      <c r="G7" s="24" t="n">
        <f aca="false">'P&amp;L'!G23</f>
        <v>-5375409.6</v>
      </c>
      <c r="H7" s="24" t="n">
        <f aca="false">'P&amp;L'!H23</f>
        <v>8579846.184</v>
      </c>
    </row>
    <row r="8" customFormat="false" ht="15" hidden="false" customHeight="false" outlineLevel="0" collapsed="false">
      <c r="B8" s="6" t="s">
        <v>201</v>
      </c>
      <c r="C8" s="18" t="s">
        <v>65</v>
      </c>
      <c r="D8" s="24" t="n">
        <f aca="false">-'P&amp;L'!D18</f>
        <v>3002.4</v>
      </c>
      <c r="E8" s="24" t="n">
        <f aca="false">-'P&amp;L'!E18</f>
        <v>15519.6</v>
      </c>
      <c r="F8" s="24" t="n">
        <f aca="false">-'P&amp;L'!F18</f>
        <v>83715.136</v>
      </c>
      <c r="G8" s="24" t="n">
        <f aca="false">-'P&amp;L'!G18</f>
        <v>232409.6</v>
      </c>
      <c r="H8" s="24" t="n">
        <f aca="false">-'P&amp;L'!H18</f>
        <v>544421.6</v>
      </c>
    </row>
    <row r="9" customFormat="false" ht="15" hidden="false" customHeight="false" outlineLevel="0" collapsed="false">
      <c r="B9" s="6" t="s">
        <v>202</v>
      </c>
      <c r="C9" s="18" t="s">
        <v>65</v>
      </c>
      <c r="D9" s="26" t="n">
        <f aca="false">-Revenue!D44*Assumptions!D58</f>
        <v>-50040</v>
      </c>
      <c r="E9" s="26" t="n">
        <f aca="false">-(Revenue!E44-Revenue!D44)*Assumptions!E58</f>
        <v>-208620</v>
      </c>
      <c r="F9" s="26" t="n">
        <f aca="false">-(Revenue!F44-Revenue!E44)*Assumptions!F58</f>
        <v>-945335.04</v>
      </c>
      <c r="G9" s="26" t="n">
        <f aca="false">-(Revenue!G44-Revenue!F44)*Assumptions!G58</f>
        <v>-2230416.96</v>
      </c>
      <c r="H9" s="26" t="n">
        <f aca="false">-(Revenue!H44-Revenue!G44)*Assumptions!H58</f>
        <v>-4680180</v>
      </c>
    </row>
    <row r="10" customFormat="false" ht="15" hidden="false" customHeight="false" outlineLevel="0" collapsed="false">
      <c r="B10" s="5" t="s">
        <v>203</v>
      </c>
      <c r="C10" s="18" t="s">
        <v>65</v>
      </c>
      <c r="D10" s="32" t="n">
        <f aca="false">SUM(D7:D9)</f>
        <v>-2390860</v>
      </c>
      <c r="E10" s="32" t="n">
        <f aca="false">SUM(E7:E9)</f>
        <v>-6091270</v>
      </c>
      <c r="F10" s="32" t="n">
        <f aca="false">SUM(F7:F9)</f>
        <v>-9007343.04</v>
      </c>
      <c r="G10" s="32" t="n">
        <f aca="false">SUM(G7:G9)</f>
        <v>-7373416.96</v>
      </c>
      <c r="H10" s="32" t="n">
        <f aca="false">SUM(H7:H9)</f>
        <v>4444087.784</v>
      </c>
    </row>
    <row r="12" customFormat="false" ht="15" hidden="false" customHeight="false" outlineLevel="0" collapsed="false">
      <c r="B12" s="6" t="s">
        <v>204</v>
      </c>
      <c r="C12" s="18" t="s">
        <v>65</v>
      </c>
      <c r="D12" s="26" t="n">
        <f aca="false">-Revenue!D44*Assumptions!D59</f>
        <v>-15012</v>
      </c>
      <c r="E12" s="26" t="n">
        <f aca="false">-Revenue!E44*Assumptions!E59</f>
        <v>-77598</v>
      </c>
      <c r="F12" s="26" t="n">
        <f aca="false">-Revenue!F44*Assumptions!F59</f>
        <v>-418575.68</v>
      </c>
      <c r="G12" s="26" t="n">
        <f aca="false">-Revenue!G44*Assumptions!G59</f>
        <v>-1162048</v>
      </c>
      <c r="H12" s="26" t="n">
        <f aca="false">-Revenue!H44*Assumptions!H59</f>
        <v>-2722108</v>
      </c>
    </row>
    <row r="13" customFormat="false" ht="15" hidden="false" customHeight="false" outlineLevel="0" collapsed="false">
      <c r="B13" s="5" t="s">
        <v>205</v>
      </c>
      <c r="C13" s="18" t="s">
        <v>65</v>
      </c>
      <c r="D13" s="32" t="n">
        <f aca="false">D12</f>
        <v>-15012</v>
      </c>
      <c r="E13" s="32" t="n">
        <f aca="false">E12</f>
        <v>-77598</v>
      </c>
      <c r="F13" s="32" t="n">
        <f aca="false">F12</f>
        <v>-418575.68</v>
      </c>
      <c r="G13" s="32" t="n">
        <f aca="false">G12</f>
        <v>-1162048</v>
      </c>
      <c r="H13" s="32" t="n">
        <f aca="false">H12</f>
        <v>-2722108</v>
      </c>
    </row>
    <row r="15" customFormat="false" ht="15" hidden="false" customHeight="false" outlineLevel="0" collapsed="false">
      <c r="B15" s="6" t="s">
        <v>206</v>
      </c>
      <c r="C15" s="18" t="s">
        <v>65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</row>
    <row r="16" customFormat="false" ht="15" hidden="false" customHeight="false" outlineLevel="0" collapsed="false">
      <c r="B16" s="5" t="s">
        <v>207</v>
      </c>
      <c r="C16" s="18" t="s">
        <v>65</v>
      </c>
      <c r="D16" s="32" t="n">
        <f aca="false">D15</f>
        <v>0</v>
      </c>
      <c r="E16" s="32" t="n">
        <f aca="false">E15</f>
        <v>0</v>
      </c>
      <c r="F16" s="32" t="n">
        <f aca="false">F15</f>
        <v>0</v>
      </c>
      <c r="G16" s="32" t="n">
        <f aca="false">G15</f>
        <v>0</v>
      </c>
      <c r="H16" s="32" t="n">
        <f aca="false">H15</f>
        <v>0</v>
      </c>
    </row>
    <row r="18" customFormat="false" ht="15" hidden="false" customHeight="false" outlineLevel="0" collapsed="false">
      <c r="B18" s="27" t="s">
        <v>208</v>
      </c>
      <c r="C18" s="28" t="s">
        <v>65</v>
      </c>
      <c r="D18" s="29" t="n">
        <f aca="false">D10+D13+D16</f>
        <v>-2405872</v>
      </c>
      <c r="E18" s="29" t="n">
        <f aca="false">E10+E13+E16</f>
        <v>-6168868</v>
      </c>
      <c r="F18" s="29" t="n">
        <f aca="false">F10+F13+F16</f>
        <v>-9425918.72</v>
      </c>
      <c r="G18" s="29" t="n">
        <f aca="false">G10+G13+G16</f>
        <v>-8535464.96</v>
      </c>
      <c r="H18" s="29" t="n">
        <f aca="false">H10+H13+H16</f>
        <v>1721979.784</v>
      </c>
    </row>
    <row r="19" customFormat="false" ht="15" hidden="false" customHeight="false" outlineLevel="0" collapsed="false">
      <c r="B19" s="5" t="s">
        <v>209</v>
      </c>
      <c r="C19" s="18" t="s">
        <v>65</v>
      </c>
      <c r="D19" s="33" t="n">
        <f aca="false">D18</f>
        <v>-2405872</v>
      </c>
      <c r="E19" s="33" t="n">
        <f aca="false">D19+E18</f>
        <v>-8574740</v>
      </c>
      <c r="F19" s="33" t="n">
        <f aca="false">E19+F18</f>
        <v>-18000658.72</v>
      </c>
      <c r="G19" s="33" t="n">
        <f aca="false">F19+G18</f>
        <v>-26536123.68</v>
      </c>
      <c r="H19" s="33" t="n">
        <f aca="false">G19+H18</f>
        <v>-24814143.896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35"/>
  </cols>
  <sheetData>
    <row r="2" customFormat="false" ht="22.05" hidden="false" customHeight="false" outlineLevel="0" collapsed="false">
      <c r="B2" s="12" t="s">
        <v>210</v>
      </c>
    </row>
    <row r="3" customFormat="false" ht="15" hidden="false" customHeight="false" outlineLevel="0" collapsed="false">
      <c r="B3" s="3" t="s">
        <v>211</v>
      </c>
    </row>
    <row r="5" customFormat="false" ht="15" hidden="false" customHeight="false" outlineLevel="0" collapsed="false">
      <c r="B5" s="13" t="s">
        <v>212</v>
      </c>
      <c r="C5" s="14" t="s">
        <v>213</v>
      </c>
      <c r="D5" s="14" t="s">
        <v>214</v>
      </c>
      <c r="E5" s="14" t="s">
        <v>215</v>
      </c>
      <c r="F5" s="14" t="s">
        <v>216</v>
      </c>
      <c r="G5" s="14" t="s">
        <v>217</v>
      </c>
      <c r="H5" s="14" t="s">
        <v>218</v>
      </c>
    </row>
    <row r="6" customFormat="false" ht="15" hidden="false" customHeight="false" outlineLevel="0" collapsed="false">
      <c r="B6" s="5" t="s">
        <v>219</v>
      </c>
      <c r="C6" s="39" t="s">
        <v>220</v>
      </c>
      <c r="D6" s="40" t="n">
        <v>0.4</v>
      </c>
      <c r="E6" s="40" t="n">
        <v>3.6</v>
      </c>
      <c r="F6" s="41" t="n">
        <f aca="false">E6+D6</f>
        <v>4</v>
      </c>
      <c r="G6" s="30" t="n">
        <f aca="false">D6/F6</f>
        <v>0.1</v>
      </c>
      <c r="H6" s="20" t="s">
        <v>221</v>
      </c>
    </row>
    <row r="7" customFormat="false" ht="15" hidden="false" customHeight="false" outlineLevel="0" collapsed="false">
      <c r="B7" s="5" t="s">
        <v>222</v>
      </c>
      <c r="C7" s="39" t="s">
        <v>223</v>
      </c>
      <c r="D7" s="40" t="n">
        <v>5.5</v>
      </c>
      <c r="E7" s="40" t="n">
        <v>18</v>
      </c>
      <c r="F7" s="41" t="n">
        <f aca="false">E7+D7</f>
        <v>23.5</v>
      </c>
      <c r="G7" s="30" t="n">
        <f aca="false">D7/F7</f>
        <v>0.234042553191489</v>
      </c>
      <c r="H7" s="20" t="s">
        <v>224</v>
      </c>
    </row>
    <row r="8" customFormat="false" ht="15" hidden="false" customHeight="false" outlineLevel="0" collapsed="false">
      <c r="B8" s="5" t="s">
        <v>225</v>
      </c>
      <c r="C8" s="39" t="s">
        <v>226</v>
      </c>
      <c r="D8" s="40" t="n">
        <v>28</v>
      </c>
      <c r="E8" s="40" t="n">
        <v>95</v>
      </c>
      <c r="F8" s="41" t="n">
        <f aca="false">E8+D8</f>
        <v>123</v>
      </c>
      <c r="G8" s="30" t="n">
        <f aca="false">D8/F8</f>
        <v>0.227642276422764</v>
      </c>
      <c r="H8" s="20" t="s">
        <v>227</v>
      </c>
    </row>
    <row r="9" customFormat="false" ht="15" hidden="false" customHeight="false" outlineLevel="0" collapsed="false">
      <c r="B9" s="5" t="s">
        <v>228</v>
      </c>
      <c r="C9" s="39" t="s">
        <v>229</v>
      </c>
      <c r="D9" s="40" t="n">
        <v>80</v>
      </c>
      <c r="E9" s="40" t="n">
        <v>380</v>
      </c>
      <c r="F9" s="41" t="n">
        <f aca="false">E9+D9</f>
        <v>460</v>
      </c>
      <c r="G9" s="30" t="n">
        <f aca="false">D9/F9</f>
        <v>0.173913043478261</v>
      </c>
      <c r="H9" s="20" t="s">
        <v>230</v>
      </c>
    </row>
    <row r="11" customFormat="false" ht="15" hidden="false" customHeight="false" outlineLevel="0" collapsed="false">
      <c r="B11" s="5" t="s">
        <v>231</v>
      </c>
      <c r="D11" s="42" t="n">
        <f aca="false">SUM(D6:D9)</f>
        <v>113.9</v>
      </c>
    </row>
    <row r="12" customFormat="false" ht="15" hidden="false" customHeight="false" outlineLevel="0" collapsed="false">
      <c r="B12" s="5" t="s">
        <v>232</v>
      </c>
      <c r="D12" s="43" t="n">
        <f aca="false">D11/Assumptions!D61</f>
        <v>31.0354223433243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8" min="3" style="0" width="13"/>
  </cols>
  <sheetData>
    <row r="2" customFormat="false" ht="22.05" hidden="false" customHeight="false" outlineLevel="0" collapsed="false">
      <c r="B2" s="12" t="s">
        <v>233</v>
      </c>
    </row>
    <row r="3" customFormat="false" ht="15" hidden="false" customHeight="false" outlineLevel="0" collapsed="false">
      <c r="B3" s="3" t="s">
        <v>234</v>
      </c>
    </row>
    <row r="5" customFormat="false" ht="15" hidden="false" customHeight="false" outlineLevel="0" collapsed="false">
      <c r="B5" s="15" t="s">
        <v>235</v>
      </c>
      <c r="C5" s="14" t="s">
        <v>236</v>
      </c>
      <c r="D5" s="14" t="s">
        <v>237</v>
      </c>
      <c r="E5" s="14" t="s">
        <v>238</v>
      </c>
      <c r="F5" s="14" t="s">
        <v>239</v>
      </c>
      <c r="G5" s="14" t="s">
        <v>240</v>
      </c>
    </row>
    <row r="6" customFormat="false" ht="15" hidden="false" customHeight="false" outlineLevel="0" collapsed="false">
      <c r="B6" s="6" t="s">
        <v>241</v>
      </c>
      <c r="C6" s="22" t="n">
        <v>0.9</v>
      </c>
      <c r="D6" s="44" t="n">
        <f aca="false">C6*(1-Funding!G6)</f>
        <v>0.81</v>
      </c>
      <c r="E6" s="44" t="n">
        <f aca="false">D6*(1-Funding!G7)</f>
        <v>0.620425531914894</v>
      </c>
      <c r="F6" s="44" t="n">
        <f aca="false">E6*(1-Funding!G8)</f>
        <v>0.479190451478983</v>
      </c>
      <c r="G6" s="44" t="n">
        <f aca="false">F6*(1-Funding!G9)</f>
        <v>0.395852981656551</v>
      </c>
    </row>
    <row r="7" customFormat="false" ht="15" hidden="false" customHeight="false" outlineLevel="0" collapsed="false">
      <c r="B7" s="6" t="s">
        <v>242</v>
      </c>
      <c r="C7" s="22" t="n">
        <v>0.1</v>
      </c>
      <c r="D7" s="44" t="n">
        <f aca="false">C7*(1-Funding!G6)</f>
        <v>0.09</v>
      </c>
      <c r="E7" s="44" t="n">
        <f aca="false">D7*(1-Funding!G7)+0.05*Funding!G7</f>
        <v>0.0806382978723404</v>
      </c>
      <c r="F7" s="44" t="n">
        <f aca="false">E7*(1-Funding!G8)+0.03*Funding!G8</f>
        <v>0.0691108804705068</v>
      </c>
      <c r="G7" s="44" t="n">
        <f aca="false">F7*(1-Funding!G9)+0.02*Funding!G9</f>
        <v>0.0605698577799839</v>
      </c>
    </row>
    <row r="8" customFormat="false" ht="15" hidden="false" customHeight="false" outlineLevel="0" collapsed="false">
      <c r="B8" s="6" t="s">
        <v>243</v>
      </c>
      <c r="C8" s="22" t="n">
        <v>0</v>
      </c>
      <c r="D8" s="44" t="n">
        <f aca="false">Funding!G6</f>
        <v>0.1</v>
      </c>
      <c r="E8" s="44" t="n">
        <f aca="false">D8*(1-Funding!G7)</f>
        <v>0.0765957446808511</v>
      </c>
      <c r="F8" s="44" t="n">
        <f aca="false">E8*(1-Funding!G8)</f>
        <v>0.0591593149974053</v>
      </c>
      <c r="G8" s="44" t="n">
        <f aca="false">F8*(1-Funding!G9)</f>
        <v>0.0488707384761174</v>
      </c>
    </row>
    <row r="9" customFormat="false" ht="15" hidden="false" customHeight="false" outlineLevel="0" collapsed="false">
      <c r="B9" s="6" t="s">
        <v>244</v>
      </c>
      <c r="C9" s="22" t="n">
        <v>0</v>
      </c>
      <c r="D9" s="22" t="n">
        <v>0</v>
      </c>
      <c r="E9" s="44" t="n">
        <f aca="false">Funding!G7*0.95</f>
        <v>0.222340425531915</v>
      </c>
      <c r="F9" s="44" t="n">
        <f aca="false">E9*(1-Funding!G8)</f>
        <v>0.171726344923024</v>
      </c>
      <c r="G9" s="44" t="n">
        <f aca="false">F9*(1-Funding!G9)</f>
        <v>0.141860893632063</v>
      </c>
    </row>
    <row r="10" customFormat="false" ht="15" hidden="false" customHeight="false" outlineLevel="0" collapsed="false">
      <c r="B10" s="6" t="s">
        <v>245</v>
      </c>
      <c r="C10" s="22" t="n">
        <v>0</v>
      </c>
      <c r="D10" s="22" t="n">
        <v>0</v>
      </c>
      <c r="E10" s="22" t="n">
        <v>0</v>
      </c>
      <c r="F10" s="44" t="n">
        <f aca="false">Funding!G8*0.97</f>
        <v>0.220813008130081</v>
      </c>
      <c r="G10" s="44" t="n">
        <f aca="false">F10*(1-Funding!G9)</f>
        <v>0.182410745846589</v>
      </c>
    </row>
    <row r="11" customFormat="false" ht="15" hidden="false" customHeight="false" outlineLevel="0" collapsed="false">
      <c r="B11" s="6" t="s">
        <v>246</v>
      </c>
      <c r="C11" s="22" t="n">
        <v>0</v>
      </c>
      <c r="D11" s="22" t="n">
        <v>0</v>
      </c>
      <c r="E11" s="22" t="n">
        <v>0</v>
      </c>
      <c r="F11" s="22" t="n">
        <v>0</v>
      </c>
      <c r="G11" s="44" t="n">
        <f aca="false">Funding!G9*0.98</f>
        <v>0.170434782608696</v>
      </c>
    </row>
    <row r="12" customFormat="false" ht="15" hidden="false" customHeight="false" outlineLevel="0" collapsed="false">
      <c r="B12" s="45" t="s">
        <v>247</v>
      </c>
      <c r="C12" s="46" t="n">
        <f aca="false">SUM(C6:C11)</f>
        <v>1</v>
      </c>
      <c r="D12" s="46" t="n">
        <f aca="false">SUM(D6:D11)</f>
        <v>1</v>
      </c>
      <c r="E12" s="46" t="n">
        <f aca="false">SUM(E6:E11)</f>
        <v>1</v>
      </c>
      <c r="F12" s="46" t="n">
        <f aca="false">SUM(F6:F11)</f>
        <v>1</v>
      </c>
      <c r="G12" s="46" t="n">
        <f aca="false">SUM(G6:G11)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8" min="3" style="0" width="14"/>
  </cols>
  <sheetData>
    <row r="2" customFormat="false" ht="22.05" hidden="false" customHeight="false" outlineLevel="0" collapsed="false">
      <c r="B2" s="12" t="s">
        <v>248</v>
      </c>
    </row>
    <row r="3" customFormat="false" ht="15" hidden="false" customHeight="false" outlineLevel="0" collapsed="false">
      <c r="B3" s="3" t="s">
        <v>249</v>
      </c>
    </row>
    <row r="5" customFormat="false" ht="15" hidden="false" customHeight="false" outlineLevel="0" collapsed="false">
      <c r="B5" s="15" t="s">
        <v>250</v>
      </c>
      <c r="C5" s="14" t="s">
        <v>251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</row>
    <row r="6" customFormat="false" ht="15" hidden="false" customHeight="false" outlineLevel="0" collapsed="false">
      <c r="B6" s="5" t="s">
        <v>15</v>
      </c>
      <c r="C6" s="18" t="s">
        <v>252</v>
      </c>
      <c r="D6" s="47" t="n">
        <f aca="false">Revenue!D44</f>
        <v>500400</v>
      </c>
      <c r="E6" s="47" t="n">
        <f aca="false">Revenue!E44</f>
        <v>2586600</v>
      </c>
      <c r="F6" s="47" t="n">
        <f aca="false">Revenue!F44</f>
        <v>10464392</v>
      </c>
      <c r="G6" s="47" t="n">
        <f aca="false">Revenue!G44</f>
        <v>29051200</v>
      </c>
      <c r="H6" s="47" t="n">
        <f aca="false">Revenue!H44</f>
        <v>68052700</v>
      </c>
    </row>
    <row r="7" customFormat="false" ht="15" hidden="false" customHeight="false" outlineLevel="0" collapsed="false">
      <c r="B7" s="6" t="s">
        <v>15</v>
      </c>
      <c r="C7" s="18" t="s">
        <v>253</v>
      </c>
      <c r="D7" s="26" t="n">
        <f aca="false">Revenue!D44*0.6</f>
        <v>300240</v>
      </c>
      <c r="E7" s="26" t="n">
        <f aca="false">Revenue!E44*0.6</f>
        <v>1551960</v>
      </c>
      <c r="F7" s="26" t="n">
        <f aca="false">Revenue!F44*0.6</f>
        <v>6278635.2</v>
      </c>
      <c r="G7" s="26" t="n">
        <f aca="false">Revenue!G44*0.6</f>
        <v>17430720</v>
      </c>
      <c r="H7" s="26" t="n">
        <f aca="false">Revenue!H44*0.6</f>
        <v>40831620</v>
      </c>
    </row>
    <row r="8" customFormat="false" ht="15" hidden="false" customHeight="false" outlineLevel="0" collapsed="false">
      <c r="B8" s="6" t="s">
        <v>15</v>
      </c>
      <c r="C8" s="18" t="s">
        <v>254</v>
      </c>
      <c r="D8" s="26" t="n">
        <f aca="false">Revenue!D44*1.35</f>
        <v>675540</v>
      </c>
      <c r="E8" s="26" t="n">
        <f aca="false">Revenue!E44*1.35</f>
        <v>3491910</v>
      </c>
      <c r="F8" s="26" t="n">
        <f aca="false">Revenue!F44*1.35</f>
        <v>14126929.2</v>
      </c>
      <c r="G8" s="26" t="n">
        <f aca="false">Revenue!G44*1.35</f>
        <v>39219120</v>
      </c>
      <c r="H8" s="26" t="n">
        <f aca="false">Revenue!H44*1.35</f>
        <v>91871145</v>
      </c>
    </row>
    <row r="9" customFormat="false" ht="15" hidden="false" customHeight="false" outlineLevel="0" collapsed="false">
      <c r="B9" s="5" t="s">
        <v>191</v>
      </c>
      <c r="C9" s="18" t="s">
        <v>252</v>
      </c>
      <c r="D9" s="47" t="n">
        <f aca="false">'P&amp;L'!D15</f>
        <v>-2340820</v>
      </c>
      <c r="E9" s="47" t="n">
        <f aca="false">'P&amp;L'!E15</f>
        <v>-5882650</v>
      </c>
      <c r="F9" s="47" t="n">
        <f aca="false">'P&amp;L'!F15</f>
        <v>-8062008</v>
      </c>
      <c r="G9" s="47" t="n">
        <f aca="false">'P&amp;L'!G15</f>
        <v>-5143000</v>
      </c>
      <c r="H9" s="47" t="n">
        <f aca="false">'P&amp;L'!H15</f>
        <v>9972824</v>
      </c>
    </row>
    <row r="10" customFormat="false" ht="15" hidden="false" customHeight="false" outlineLevel="0" collapsed="false">
      <c r="B10" s="6" t="s">
        <v>191</v>
      </c>
      <c r="C10" s="18" t="s">
        <v>255</v>
      </c>
      <c r="D10" s="26" t="n">
        <f aca="false">'P&amp;L'!D15-Revenue!D44*0.4*0.55</f>
        <v>-2450908</v>
      </c>
      <c r="E10" s="26" t="n">
        <f aca="false">'P&amp;L'!E15-Revenue!E44*0.4*0.55</f>
        <v>-6451702</v>
      </c>
      <c r="F10" s="26" t="n">
        <f aca="false">'P&amp;L'!F15-Revenue!F44*0.4*0.55</f>
        <v>-10364174.24</v>
      </c>
      <c r="G10" s="26" t="n">
        <f aca="false">'P&amp;L'!G15-Revenue!G44*0.4*0.55</f>
        <v>-11534264</v>
      </c>
      <c r="H10" s="26" t="n">
        <f aca="false">'P&amp;L'!H15-Revenue!H44*0.4*0.55</f>
        <v>-4998770</v>
      </c>
    </row>
    <row r="11" customFormat="false" ht="15" hidden="false" customHeight="false" outlineLevel="0" collapsed="false">
      <c r="B11" s="6" t="s">
        <v>191</v>
      </c>
      <c r="C11" s="18" t="s">
        <v>256</v>
      </c>
      <c r="D11" s="26" t="n">
        <f aca="false">'P&amp;L'!D15+Revenue!D44*0.35*0.6</f>
        <v>-2235736</v>
      </c>
      <c r="E11" s="26" t="n">
        <f aca="false">'P&amp;L'!E15+Revenue!E44*0.35*0.6</f>
        <v>-5339464</v>
      </c>
      <c r="F11" s="26" t="n">
        <f aca="false">'P&amp;L'!F15+Revenue!F44*0.35*0.6</f>
        <v>-5864485.68</v>
      </c>
      <c r="G11" s="26" t="n">
        <f aca="false">'P&amp;L'!G15+Revenue!G44*0.35*0.6</f>
        <v>957751.999999995</v>
      </c>
      <c r="H11" s="26" t="n">
        <f aca="false">'P&amp;L'!H15+Revenue!H44*0.35*0.6</f>
        <v>24263891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8" min="4" style="0" width="14"/>
  </cols>
  <sheetData>
    <row r="2" customFormat="false" ht="22.05" hidden="false" customHeight="false" outlineLevel="0" collapsed="false">
      <c r="B2" s="12" t="s">
        <v>257</v>
      </c>
    </row>
    <row r="3" customFormat="false" ht="15" hidden="false" customHeight="false" outlineLevel="0" collapsed="false">
      <c r="B3" s="3" t="s">
        <v>258</v>
      </c>
    </row>
    <row r="5" customFormat="false" ht="15" hidden="false" customHeight="false" outlineLevel="0" collapsed="false">
      <c r="B5" s="15"/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</row>
    <row r="6" customFormat="false" ht="15" hidden="false" customHeight="false" outlineLevel="0" collapsed="false">
      <c r="B6" s="5" t="s">
        <v>127</v>
      </c>
      <c r="C6" s="18" t="s">
        <v>80</v>
      </c>
      <c r="D6" s="24" t="n">
        <f aca="false">Revenue!D13</f>
        <v>5</v>
      </c>
      <c r="E6" s="24" t="n">
        <f aca="false">Revenue!E13</f>
        <v>20</v>
      </c>
      <c r="F6" s="24" t="n">
        <f aca="false">Revenue!F13</f>
        <v>62</v>
      </c>
      <c r="G6" s="24" t="n">
        <f aca="false">Revenue!G13</f>
        <v>140</v>
      </c>
      <c r="H6" s="24" t="n">
        <f aca="false">Revenue!H13</f>
        <v>256</v>
      </c>
    </row>
    <row r="7" customFormat="false" ht="15" hidden="false" customHeight="false" outlineLevel="0" collapsed="false">
      <c r="B7" s="5" t="s">
        <v>15</v>
      </c>
      <c r="C7" s="18" t="s">
        <v>65</v>
      </c>
      <c r="D7" s="24" t="n">
        <f aca="false">Revenue!D44</f>
        <v>500400</v>
      </c>
      <c r="E7" s="24" t="n">
        <f aca="false">Revenue!E44</f>
        <v>2586600</v>
      </c>
      <c r="F7" s="24" t="n">
        <f aca="false">Revenue!F44</f>
        <v>10464392</v>
      </c>
      <c r="G7" s="24" t="n">
        <f aca="false">Revenue!G44</f>
        <v>29051200</v>
      </c>
      <c r="H7" s="24" t="n">
        <f aca="false">Revenue!H44</f>
        <v>68052700</v>
      </c>
    </row>
    <row r="8" customFormat="false" ht="15" hidden="false" customHeight="false" outlineLevel="0" collapsed="false">
      <c r="B8" s="6" t="s">
        <v>154</v>
      </c>
      <c r="C8" s="18" t="s">
        <v>88</v>
      </c>
      <c r="D8" s="30"/>
      <c r="E8" s="30" t="n">
        <f aca="false">Revenue!E44/Revenue!D44-1</f>
        <v>4.16906474820144</v>
      </c>
      <c r="F8" s="30" t="n">
        <f aca="false">Revenue!F44/Revenue!E44-1</f>
        <v>3.04561663960411</v>
      </c>
      <c r="G8" s="30" t="n">
        <f aca="false">Revenue!G44/Revenue!F44-1</f>
        <v>1.7761956929748</v>
      </c>
      <c r="H8" s="30" t="n">
        <f aca="false">Revenue!H44/Revenue!G44-1</f>
        <v>1.34250908740431</v>
      </c>
    </row>
    <row r="9" customFormat="false" ht="15" hidden="false" customHeight="false" outlineLevel="0" collapsed="false">
      <c r="B9" s="5" t="s">
        <v>164</v>
      </c>
      <c r="C9" s="18" t="s">
        <v>65</v>
      </c>
      <c r="D9" s="24" t="n">
        <f aca="false">'P&amp;L'!D10</f>
        <v>399180</v>
      </c>
      <c r="E9" s="24" t="n">
        <f aca="false">'P&amp;L'!E10</f>
        <v>2227350</v>
      </c>
      <c r="F9" s="24" t="n">
        <f aca="false">'P&amp;L'!F10</f>
        <v>9417992</v>
      </c>
      <c r="G9" s="24" t="n">
        <f aca="false">'P&amp;L'!G10</f>
        <v>26977000</v>
      </c>
      <c r="H9" s="24" t="n">
        <f aca="false">'P&amp;L'!H10</f>
        <v>64322824</v>
      </c>
    </row>
    <row r="10" customFormat="false" ht="15" hidden="false" customHeight="false" outlineLevel="0" collapsed="false">
      <c r="B10" s="6" t="s">
        <v>189</v>
      </c>
      <c r="C10" s="18" t="s">
        <v>88</v>
      </c>
      <c r="D10" s="44" t="n">
        <f aca="false">'P&amp;L'!D11</f>
        <v>0.797721822541966</v>
      </c>
      <c r="E10" s="44" t="n">
        <f aca="false">'P&amp;L'!E11</f>
        <v>0.861111111111111</v>
      </c>
      <c r="F10" s="44" t="n">
        <f aca="false">'P&amp;L'!F11</f>
        <v>0.900003746037037</v>
      </c>
      <c r="G10" s="44" t="n">
        <f aca="false">'P&amp;L'!G11</f>
        <v>0.928601916616181</v>
      </c>
      <c r="H10" s="44" t="n">
        <f aca="false">'P&amp;L'!H11</f>
        <v>0.945191359049678</v>
      </c>
    </row>
    <row r="11" customFormat="false" ht="15" hidden="false" customHeight="false" outlineLevel="0" collapsed="false">
      <c r="B11" s="5" t="s">
        <v>19</v>
      </c>
      <c r="C11" s="18" t="s">
        <v>65</v>
      </c>
      <c r="D11" s="24" t="n">
        <f aca="false">OpEx!D31</f>
        <v>2740000</v>
      </c>
      <c r="E11" s="24" t="n">
        <f aca="false">OpEx!E31</f>
        <v>8110000</v>
      </c>
      <c r="F11" s="24" t="n">
        <f aca="false">OpEx!F31</f>
        <v>17480000</v>
      </c>
      <c r="G11" s="24" t="n">
        <f aca="false">OpEx!G31</f>
        <v>32120000</v>
      </c>
      <c r="H11" s="24" t="n">
        <f aca="false">OpEx!H31</f>
        <v>54350000</v>
      </c>
    </row>
    <row r="12" customFormat="false" ht="15" hidden="false" customHeight="false" outlineLevel="0" collapsed="false">
      <c r="B12" s="5" t="s">
        <v>191</v>
      </c>
      <c r="C12" s="18" t="s">
        <v>65</v>
      </c>
      <c r="D12" s="24" t="n">
        <f aca="false">'P&amp;L'!D15</f>
        <v>-2340820</v>
      </c>
      <c r="E12" s="24" t="n">
        <f aca="false">'P&amp;L'!E15</f>
        <v>-5882650</v>
      </c>
      <c r="F12" s="24" t="n">
        <f aca="false">'P&amp;L'!F15</f>
        <v>-8062008</v>
      </c>
      <c r="G12" s="24" t="n">
        <f aca="false">'P&amp;L'!G15</f>
        <v>-5143000</v>
      </c>
      <c r="H12" s="24" t="n">
        <f aca="false">'P&amp;L'!H15</f>
        <v>9972824</v>
      </c>
    </row>
    <row r="13" customFormat="false" ht="15" hidden="false" customHeight="false" outlineLevel="0" collapsed="false">
      <c r="B13" s="6" t="s">
        <v>192</v>
      </c>
      <c r="C13" s="18" t="s">
        <v>88</v>
      </c>
      <c r="D13" s="44" t="n">
        <f aca="false">'P&amp;L'!D16</f>
        <v>-4.67789768185452</v>
      </c>
      <c r="E13" s="44" t="n">
        <f aca="false">'P&amp;L'!E16</f>
        <v>-2.27427897626228</v>
      </c>
      <c r="F13" s="44" t="n">
        <f aca="false">'P&amp;L'!F16</f>
        <v>-0.7704229734513</v>
      </c>
      <c r="G13" s="44" t="n">
        <f aca="false">'P&amp;L'!G16</f>
        <v>-0.177032274054084</v>
      </c>
      <c r="H13" s="44" t="n">
        <f aca="false">'P&amp;L'!H16</f>
        <v>0.146545603627777</v>
      </c>
    </row>
    <row r="14" customFormat="false" ht="15" hidden="false" customHeight="false" outlineLevel="0" collapsed="false">
      <c r="B14" s="5" t="s">
        <v>197</v>
      </c>
      <c r="C14" s="18" t="s">
        <v>65</v>
      </c>
      <c r="D14" s="24" t="n">
        <f aca="false">'P&amp;L'!D23</f>
        <v>-2343822.4</v>
      </c>
      <c r="E14" s="24" t="n">
        <f aca="false">'P&amp;L'!E23</f>
        <v>-5898169.6</v>
      </c>
      <c r="F14" s="24" t="n">
        <f aca="false">'P&amp;L'!F23</f>
        <v>-8145723.136</v>
      </c>
      <c r="G14" s="24" t="n">
        <f aca="false">'P&amp;L'!G23</f>
        <v>-5375409.6</v>
      </c>
      <c r="H14" s="24" t="n">
        <f aca="false">'P&amp;L'!H23</f>
        <v>8579846.184</v>
      </c>
    </row>
    <row r="16" customFormat="false" ht="15" hidden="false" customHeight="false" outlineLevel="0" collapsed="false">
      <c r="B16" s="5" t="s">
        <v>259</v>
      </c>
      <c r="C16" s="18" t="s">
        <v>260</v>
      </c>
      <c r="D16" s="48" t="n">
        <f aca="false">Revenue!D44/Assumptions!D61/1000000</f>
        <v>0.136348773841962</v>
      </c>
      <c r="E16" s="48" t="n">
        <f aca="false">Revenue!E44/Assumptions!E61/1000000</f>
        <v>0.704795640326976</v>
      </c>
      <c r="F16" s="48" t="n">
        <f aca="false">Revenue!F44/Assumptions!F61/1000000</f>
        <v>2.85133297002725</v>
      </c>
      <c r="G16" s="48" t="n">
        <f aca="false">Revenue!G44/Assumptions!G61/1000000</f>
        <v>7.9158583106267</v>
      </c>
      <c r="H16" s="48" t="n">
        <f aca="false">Revenue!H44/Assumptions!H61/1000000</f>
        <v>18.542970027248</v>
      </c>
    </row>
    <row r="17" customFormat="false" ht="15" hidden="false" customHeight="false" outlineLevel="0" collapsed="false">
      <c r="B17" s="5" t="s">
        <v>261</v>
      </c>
      <c r="C17" s="18" t="s">
        <v>260</v>
      </c>
      <c r="D17" s="48" t="n">
        <f aca="false">'P&amp;L'!D15/Assumptions!D61/1000000</f>
        <v>-0.637825613079019</v>
      </c>
      <c r="E17" s="48" t="n">
        <f aca="false">'P&amp;L'!E15/Assumptions!E61/1000000</f>
        <v>-1.60290190735695</v>
      </c>
      <c r="F17" s="48" t="n">
        <f aca="false">'P&amp;L'!F15/Assumptions!F61/1000000</f>
        <v>-2.19673242506812</v>
      </c>
      <c r="G17" s="48" t="n">
        <f aca="false">'P&amp;L'!G15/Assumptions!G61/1000000</f>
        <v>-1.40136239782016</v>
      </c>
      <c r="H17" s="48" t="n">
        <f aca="false">'P&amp;L'!H15/Assumptions!H61/1000000</f>
        <v>2.71739073569482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2026-04-28T15:59:41Z</dcterms:created>
  <dc:creator>openpyxl</dc:creator>
  <dc:description/>
  <dc:language>en-US</dc:language>
  <cp:lastModifiedBy/>
  <dcterms:modified xsi:type="dcterms:W3CDTF">2026-04-28T15:59:41Z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